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653ffd6dd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790f2a92be4fe3"/>
    <x:sheet xmlns:r="http://schemas.openxmlformats.org/officeDocument/2006/relationships" name="Channel Summary" sheetId="2" r:id="Rfb8904af13464aad"/>
    <x:sheet xmlns:r="http://schemas.openxmlformats.org/officeDocument/2006/relationships" name="Source Data" sheetId="3" r:id="R1a68eec0b7da4786"/>
    <x:sheet xmlns:r="http://schemas.openxmlformats.org/officeDocument/2006/relationships" name="CPA Tests" sheetId="4" r:id="R00c5414cf5be4701"/>
    <x:sheet xmlns:r="http://schemas.openxmlformats.org/officeDocument/2006/relationships" name="Conversion Tests" sheetId="5" r:id="R151fc880b45f4255"/>
    <x:sheet xmlns:r="http://schemas.openxmlformats.org/officeDocument/2006/relationships" name="Power" sheetId="6" r:id="R6881d2d06fea4e20"/>
    <x:sheet xmlns:r="http://schemas.openxmlformats.org/officeDocument/2006/relationships" name="Allocation" sheetId="7" r:id="Rf08e9e446721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x"/>
    <x:numFmt numFmtId="201" formatCode="$#,##0"/>
    <x:numFmt numFmtId="202" formatCode="0.00%"/>
    <x:numFmt numFmtId="203" formatCode="yyyy-mm-dd"/>
    <x:numFmt numFmtId="204" formatCode="$#,##0.00"/>
    <x:numFmt numFmtId="205" formatCode="0.0%"/>
    <x:numFmt numFmtId="206" formatCode="0.000"/>
    <x:numFmt numFmtId="207" formatCode="0.000E+00"/>
    <x:numFmt numFmtId="208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  <x:font>
      <x:b/>
      <x:sz val="18"/>
      <x:color rgb="FFFFFFFF"/>
      <x:name val="Aptos"/>
    </x:font>
    <x:font>
      <x:i/>
      <x:sz val="11"/>
      <x:color rgb="FF475569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0F766E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CCFBF1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201" fontId="4" fillId="4" borderId="1" xfId="0" applyNumberFormat="1" applyFont="1" applyFill="1" applyBorder="1"/>
    <x:xf numFmtId="202" fontId="4" fillId="4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8" fillId="2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/>
    <x:xf numFmtId="0" fontId="9" fillId="4" borderId="1" xfId="0" applyNumberFormat="1" applyFont="1" applyFill="1" applyBorder="1"/>
    <x:xf numFmtId="200" fontId="9" fillId="4" borderId="1" xfId="0" applyNumberFormat="1" applyFont="1" applyFill="1" applyBorder="1"/>
    <x:xf numFmtId="201" fontId="9" fillId="4" borderId="1" xfId="0" applyNumberFormat="1" applyFont="1" applyFill="1" applyBorder="1"/>
    <x:xf numFmtId="202" fontId="9" fillId="4" borderId="1" xfId="0" applyNumberFormat="1" applyFont="1" applyFill="1" applyBorder="1"/>
    <x:xf numFmtId="0" fontId="7" fillId="0" borderId="1" xfId="0" applyNumberFormat="1" applyFont="1" applyFill="1" applyBorder="1"/>
    <x:xf numFmtId="201" fontId="7" fillId="0" borderId="1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4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3" xfId="0" applyNumberFormat="1" applyFont="1" applyFill="1" applyBorder="1" applyAlignment="1">
      <x:alignment vertical="center"/>
    </x:xf>
    <x:xf numFmtId="206" fontId="0" fillId="0" borderId="3" xfId="0" applyNumberFormat="1" applyFont="1" applyFill="1" applyBorder="1" applyAlignment="1">
      <x:alignment vertical="center"/>
    </x:xf>
    <x:xf numFmtId="207" fontId="0" fillId="0" borderId="3" xfId="0" applyNumberFormat="1" applyFont="1" applyFill="1" applyBorder="1" applyAlignment="1">
      <x:alignment vertical="center"/>
    </x:xf>
    <x:xf numFmtId="208" fontId="0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13e0304b14e40" /><Relationship Type="http://schemas.openxmlformats.org/officeDocument/2006/relationships/theme" Target="/xl/theme/theme1.xml" Id="R713b739f2d27450d" /><Relationship Type="http://schemas.microsoft.com/office/2022/11/relationships/FeaturePropertyBag" Target="/xl/featurePropertyBag/featurePropertyBag.xml" Id="Rf997972295db4d13" /><Relationship Type="http://schemas.openxmlformats.org/officeDocument/2006/relationships/sharedStrings" Target="/xl/sharedStrings.xml" Id="Rdd19807bf81f4db7" /><Relationship Type="http://schemas.openxmlformats.org/officeDocument/2006/relationships/worksheet" Target="/xl/worksheets/sheet1.xml" Id="Rc7790f2a92be4fe3" /><Relationship Type="http://schemas.openxmlformats.org/officeDocument/2006/relationships/worksheet" Target="/xl/worksheets/sheet2.xml" Id="Rfb8904af13464aad" /><Relationship Type="http://schemas.openxmlformats.org/officeDocument/2006/relationships/worksheet" Target="/xl/worksheets/sheet3.xml" Id="R1a68eec0b7da4786" /><Relationship Type="http://schemas.openxmlformats.org/officeDocument/2006/relationships/worksheet" Target="/xl/worksheets/sheet4.xml" Id="R00c5414cf5be4701" /><Relationship Type="http://schemas.openxmlformats.org/officeDocument/2006/relationships/worksheet" Target="/xl/worksheets/sheet5.xml" Id="R151fc880b45f4255" /><Relationship Type="http://schemas.openxmlformats.org/officeDocument/2006/relationships/worksheet" Target="/xl/worksheets/sheet6.xml" Id="R6881d2d06fea4e20" /><Relationship Type="http://schemas.openxmlformats.org/officeDocument/2006/relationships/worksheet" Target="/xl/worksheets/sheet7.xml" Id="Rf08e9e44672147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5b8a884f4947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Recommended monthly budget by channel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MONTHLY BUDGET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5b8a884f49478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hannelSummaryTable" displayName="ChannelSummaryTable" ref="A1:R8" headerRowCount="1" totalsRowCount="0" totalsRowShown="0">
  <x:tableColumns count="18">
    <x:tableColumn id="1" name="channel"/>
    <x:tableColumn id="2" name="days"/>
    <x:tableColumn id="3" name="impressions"/>
    <x:tableColumn id="4" name="clicks"/>
    <x:tableColumn id="5" name="conversions"/>
    <x:tableColumn id="6" name="cost"/>
    <x:tableColumn id="7" name="revenue"/>
    <x:tableColumn id="8" name="profit"/>
    <x:tableColumn id="9" name="valid_cpa_days"/>
    <x:tableColumn id="10" name="daily_cpa_mean"/>
    <x:tableColumn id="11" name="daily_cpa_std"/>
    <x:tableColumn id="12" name="daily_roas_mean"/>
    <x:tableColumn id="13" name="daily_conversion_rate_mean"/>
    <x:tableColumn id="14" name="ctr"/>
    <x:tableColumn id="15" name="conversion_rate"/>
    <x:tableColumn id="16" name="cpa"/>
    <x:tableColumn id="17" name="roas"/>
    <x:tableColumn id="18" name="profit_mar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DataTable" displayName="SourceDataTable" ref="A1:N631" headerRowCount="1" totalsRowCount="0" totalsRowShown="0">
  <x:tableColumns count="14">
    <x:tableColumn id="1" name="date"/>
    <x:tableColumn id="2" name="channel"/>
    <x:tableColumn id="3" name="impressions"/>
    <x:tableColumn id="4" name="clicks"/>
    <x:tableColumn id="5" name="conversions"/>
    <x:tableColumn id="6" name="cost"/>
    <x:tableColumn id="7" name="revenue"/>
    <x:tableColumn id="8" name="companies_observed"/>
    <x:tableColumn id="9" name="ctr"/>
    <x:tableColumn id="10" name="conversion_rate"/>
    <x:tableColumn id="11" name="cpa"/>
    <x:tableColumn id="12" name="roas"/>
    <x:tableColumn id="13" name="profit"/>
    <x:tableColumn id="14" name="profit_mar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paTestsTable" displayName="CpaTestsTable" ref="A1:S22" headerRowCount="1" totalsRowCount="0" totalsRowShown="0">
  <x:tableColumns count="19">
    <x:tableColumn id="1" name="metric"/>
    <x:tableColumn id="2" name="channel_a"/>
    <x:tableColumn id="3" name="channel_b"/>
    <x:tableColumn id="4" name="n_a"/>
    <x:tableColumn id="5" name="n_b"/>
    <x:tableColumn id="6" name="mean_a"/>
    <x:tableColumn id="7" name="mean_b"/>
    <x:tableColumn id="8" name="difference_b_minus_a"/>
    <x:tableColumn id="9" name="percent_difference_vs_a"/>
    <x:tableColumn id="10" name="t_statistic"/>
    <x:tableColumn id="11" name="p_value"/>
    <x:tableColumn id="12" name="cohens_d"/>
    <x:tableColumn id="13" name="effect_size"/>
    <x:tableColumn id="14" name="significant_uncorrected"/>
    <x:tableColumn id="15" name="bonferroni_alpha"/>
    <x:tableColumn id="16" name="p_value_bonferroni"/>
    <x:tableColumn id="17" name="significant_bonferroni"/>
    <x:tableColumn id="18" name="p_value_fdr"/>
    <x:tableColumn id="19" name="significant_fd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versionTestsTable" displayName="ConversionTestsTable" ref="A1:S22" headerRowCount="1" totalsRowCount="0" totalsRowShown="0">
  <x:tableColumns count="19">
    <x:tableColumn id="1" name="metric"/>
    <x:tableColumn id="2" name="channel_a"/>
    <x:tableColumn id="3" name="channel_b"/>
    <x:tableColumn id="4" name="conversions_a"/>
    <x:tableColumn id="5" name="clicks_a"/>
    <x:tableColumn id="6" name="conversions_b"/>
    <x:tableColumn id="7" name="clicks_b"/>
    <x:tableColumn id="8" name="rate_a"/>
    <x:tableColumn id="9" name="rate_b"/>
    <x:tableColumn id="10" name="difference_b_minus_a"/>
    <x:tableColumn id="11" name="percent_difference_vs_a"/>
    <x:tableColumn id="12" name="odds_ratio"/>
    <x:tableColumn id="13" name="p_value"/>
    <x:tableColumn id="14" name="significant_uncorrected"/>
    <x:tableColumn id="15" name="bonferroni_alpha"/>
    <x:tableColumn id="16" name="p_value_bonferroni"/>
    <x:tableColumn id="17" name="significant_bonferroni"/>
    <x:tableColumn id="18" name="p_value_fdr"/>
    <x:tableColumn id="19" name="significant_fd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werTable" displayName="PowerTable" ref="A1:C21" headerRowCount="1" totalsRowCount="0" totalsRowShown="0">
  <x:tableColumns count="3">
    <x:tableColumn id="1" name="effect_size_pct"/>
    <x:tableColumn id="2" name="n_days_per_channel"/>
    <x:tableColumn id="3" name="pow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llocationTable" displayName="AllocationTable" ref="A1:O8" headerRowCount="1" totalsRowCount="0" totalsRowShown="0">
  <x:tableColumns count="15">
    <x:tableColumn id="1" name="channel"/>
    <x:tableColumn id="2" name="conversion_rate"/>
    <x:tableColumn id="3" name="cpa"/>
    <x:tableColumn id="4" name="roas"/>
    <x:tableColumn id="5" name="profit"/>
    <x:tableColumn id="6" name="roas_rank"/>
    <x:tableColumn id="7" name="conversion_rank"/>
    <x:tableColumn id="8" name="cpa_rank"/>
    <x:tableColumn id="9" name="roas_points"/>
    <x:tableColumn id="10" name="conversion_points"/>
    <x:tableColumn id="11" name="cpa_points"/>
    <x:tableColumn id="12" name="composite_score"/>
    <x:tableColumn id="13" name="recommended_share"/>
    <x:tableColumn id="14" name="recommended_budget_usd"/>
    <x:tableColumn id="15" name="allocation_guardr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6b4f3bd4144d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e7b8ff9834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e0e7dcf9ea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c9553dbb5a4b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261d36b4d741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4b5236a55242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2311d3cceb44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" hidden="0" customWidth="1"/>
    <x:col min="4" max="4" width="26" hidden="0" customWidth="1"/>
    <x:col min="5" max="5" width="18" hidden="0" customWidth="1"/>
  </x:cols>
  <x:sheetData>
    <x:row r="1">
      <x:c r="A1" s="25" t="str">
        <x:v>SEVEN-CHANNEL MARKETING DECISION DASHBOARD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3">
      <x:c r="A3" s="26" t="str">
        <x:v>90-day synthetic SaaS benchmark | Prepared by Elza Paegle | 24 August 2026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5" ht="32" customHeight="1">
      <x:c r="A5" s="28" t="str">
        <x:v>PERFORMANCE</x:v>
      </x:c>
      <x:c r="B5" s="28" t="str">
        <x:v>VALUE</x:v>
      </x:c>
      <x:c r="C5" s="27"/>
      <x:c r="D5" s="28" t="str">
        <x:v>EVIDENCE</x:v>
      </x:c>
      <x:c r="E5" s="28" t="str">
        <x:v>VALUE</x:v>
      </x:c>
      <x:c r="F5" s="27"/>
      <x:c r="G5" s="27"/>
      <x:c r="H5" s="27"/>
      <x:c r="I5" s="27"/>
      <x:c r="J5" s="27"/>
      <x:c r="K5" s="27"/>
    </x:row>
    <x:row r="6">
      <x:c r="A6" s="29" t="str">
        <x:v>Top ROAS channel</x:v>
      </x:c>
      <x:c r="B6" s="30" t="str">
        <x:f>'Channel Summary'!A2</x:f>
        <x:v>Referral</x:v>
      </x:c>
      <x:c r="C6" s="27"/>
      <x:c r="D6" s="29" t="str">
        <x:v>CPA FDR discoveries</x:v>
      </x:c>
      <x:c r="E6" s="30" t="n">
        <x:f>COUNTIF('CPA Tests'!R2:R22,"&lt;0.05")</x:f>
        <x:v>16</x:v>
      </x:c>
      <x:c r="F6" s="27"/>
      <x:c r="G6" s="27"/>
      <x:c r="H6" s="27"/>
      <x:c r="I6" s="27"/>
      <x:c r="J6" s="27"/>
      <x:c r="K6" s="27"/>
    </x:row>
    <x:row r="7">
      <x:c r="A7" s="29" t="str">
        <x:v>Top aggregate ROAS</x:v>
      </x:c>
      <x:c r="B7" s="31" t="n">
        <x:f>'Channel Summary'!Q2</x:f>
        <x:v>6.607183538237378</x:v>
      </x:c>
      <x:c r="C7" s="27"/>
      <x:c r="D7" s="29" t="str">
        <x:v>Conversion FDR discoveries</x:v>
      </x:c>
      <x:c r="E7" s="30" t="n">
        <x:f>COUNTIF('Conversion Tests'!R2:R22,"&lt;0.05")</x:f>
        <x:v>15</x:v>
      </x:c>
      <x:c r="F7" s="27"/>
      <x:c r="G7" s="27"/>
      <x:c r="H7" s="27"/>
      <x:c r="I7" s="27"/>
      <x:c r="J7" s="27"/>
      <x:c r="K7" s="27"/>
    </x:row>
    <x:row r="8">
      <x:c r="A8" s="29" t="str">
        <x:v>Top aggregate CPA</x:v>
      </x:c>
      <x:c r="B8" s="32" t="n">
        <x:f>'Channel Summary'!P2</x:f>
        <x:v>77.84918505942275</x:v>
      </x:c>
      <x:c r="C8" s="27"/>
      <x:c r="D8" s="29" t="str">
        <x:v>Days per channel</x:v>
      </x:c>
      <x:c r="E8" s="30" t="n">
        <x:f>COUNTA('Source Data'!A2:A631)/7</x:f>
        <x:v>90</x:v>
      </x:c>
      <x:c r="F8" s="27"/>
      <x:c r="G8" s="27"/>
      <x:c r="H8" s="27"/>
      <x:c r="I8" s="27"/>
      <x:c r="J8" s="27"/>
      <x:c r="K8" s="27"/>
    </x:row>
    <x:row r="9">
      <x:c r="A9" s="29" t="str">
        <x:v>Top conversion rate</x:v>
      </x:c>
      <x:c r="B9" s="33" t="n">
        <x:f>'Channel Summary'!O2</x:f>
        <x:v>0.027286204021124805</x:v>
      </x:c>
      <x:c r="C9" s="27"/>
      <x:c r="D9" s="29" t="str">
        <x:v>Recommended budget</x:v>
      </x:c>
      <x:c r="E9" s="32" t="n">
        <x:f>SUM('Allocation'!N2:N8)</x:f>
        <x:v>500000</x:v>
      </x:c>
      <x:c r="F9" s="27"/>
      <x:c r="G9" s="27"/>
      <x:c r="H9" s="27"/>
      <x:c r="I9" s="27"/>
      <x:c r="J9" s="27"/>
      <x:c r="K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</x:row>
    <x:row r="11" ht="32" customHeight="1">
      <x:c r="A11" s="28" t="str">
        <x:v>CHANNEL</x:v>
      </x:c>
      <x:c r="B11" s="28" t="str">
        <x:v>MONTHLY BUDGET</x:v>
      </x:c>
      <x:c r="C11" s="27"/>
      <x:c r="D11" s="27"/>
      <x:c r="E11" s="27"/>
      <x:c r="F11" s="27"/>
      <x:c r="G11" s="27"/>
      <x:c r="H11" s="27"/>
      <x:c r="I11" s="27"/>
      <x:c r="J11" s="27"/>
      <x:c r="K11" s="27"/>
    </x:row>
    <x:row r="12">
      <x:c r="A12" s="34" t="str">
        <x:f>'Allocation'!A2</x:f>
        <x:v>Referral</x:v>
      </x:c>
      <x:c r="B12" s="35" t="n">
        <x:f>'Allocation'!N2</x:f>
        <x:v>106400</x:v>
      </x:c>
      <x:c r="C12" s="27"/>
      <x:c r="D12" s="27"/>
      <x:c r="E12" s="27"/>
      <x:c r="F12" s="27"/>
      <x:c r="G12" s="27"/>
      <x:c r="H12" s="27"/>
      <x:c r="I12" s="27"/>
      <x:c r="J12" s="27"/>
      <x:c r="K12" s="27"/>
    </x:row>
    <x:row r="13">
      <x:c r="A13" s="34" t="str">
        <x:f>'Allocation'!A3</x:f>
        <x:v>SEO</x:v>
      </x:c>
      <x:c r="B13" s="35" t="n">
        <x:f>'Allocation'!N3</x:f>
        <x:v>94600</x:v>
      </x:c>
      <x:c r="C13" s="27"/>
      <x:c r="D13" s="27"/>
      <x:c r="E13" s="27"/>
      <x:c r="F13" s="27"/>
      <x:c r="G13" s="27"/>
      <x:c r="H13" s="27"/>
      <x:c r="I13" s="27"/>
      <x:c r="J13" s="27"/>
      <x:c r="K13" s="27"/>
    </x:row>
    <x:row r="14">
      <x:c r="A14" s="34" t="str">
        <x:f>'Allocation'!A4</x:f>
        <x:v>Partnerships</x:v>
      </x:c>
      <x:c r="B14" s="35" t="n">
        <x:f>'Allocation'!N4</x:f>
        <x:v>67900</x:v>
      </x:c>
      <x:c r="C14" s="27"/>
      <x:c r="D14" s="27"/>
      <x:c r="E14" s="27"/>
      <x:c r="F14" s="27"/>
      <x:c r="G14" s="27"/>
      <x:c r="H14" s="27"/>
      <x:c r="I14" s="27"/>
      <x:c r="J14" s="27"/>
      <x:c r="K14" s="27"/>
    </x:row>
    <x:row r="15">
      <x:c r="A15" s="34" t="str">
        <x:f>'Allocation'!A5</x:f>
        <x:v>Paid Search</x:v>
      </x:c>
      <x:c r="B15" s="35" t="n">
        <x:f>'Allocation'!N5</x:f>
        <x:v>66800</x:v>
      </x:c>
      <x:c r="C15" s="27"/>
      <x:c r="D15" s="27"/>
      <x:c r="E15" s="27"/>
      <x:c r="F15" s="27"/>
      <x:c r="G15" s="27"/>
      <x:c r="H15" s="27"/>
      <x:c r="I15" s="27"/>
      <x:c r="J15" s="27"/>
      <x:c r="K15" s="27"/>
    </x:row>
    <x:row r="16">
      <x:c r="A16" s="34" t="str">
        <x:f>'Allocation'!A6</x:f>
        <x:v>Outbound Sales</x:v>
      </x:c>
      <x:c r="B16" s="35" t="n">
        <x:f>'Allocation'!N6</x:f>
        <x:v>62100</x:v>
      </x:c>
      <x:c r="C16" s="27"/>
      <x:c r="D16" s="27"/>
      <x:c r="E16" s="27"/>
      <x:c r="F16" s="27"/>
      <x:c r="G16" s="27"/>
      <x:c r="H16" s="27"/>
      <x:c r="I16" s="27"/>
      <x:c r="J16" s="27"/>
      <x:c r="K16" s="27"/>
    </x:row>
    <x:row r="17">
      <x:c r="A17" s="34" t="str">
        <x:f>'Allocation'!A7</x:f>
        <x:v>Content</x:v>
      </x:c>
      <x:c r="B17" s="35" t="n">
        <x:f>'Allocation'!N7</x:f>
        <x:v>62100</x:v>
      </x:c>
      <x:c r="C17" s="27"/>
      <x:c r="D17" s="27"/>
      <x:c r="E17" s="27"/>
      <x:c r="F17" s="27"/>
      <x:c r="G17" s="27"/>
      <x:c r="H17" s="27"/>
      <x:c r="I17" s="27"/>
      <x:c r="J17" s="27"/>
      <x:c r="K17" s="27"/>
    </x:row>
    <x:row r="18">
      <x:c r="A18" s="34" t="str">
        <x:f>'Allocation'!A8</x:f>
        <x:v>LinkedIn Ads</x:v>
      </x:c>
      <x:c r="B18" s="35" t="n">
        <x:f>'Allocation'!N8</x:f>
        <x:v>40100</x:v>
      </x:c>
      <x:c r="C18" s="27"/>
      <x:c r="D18" s="27"/>
      <x:c r="E18" s="27"/>
      <x:c r="F18" s="27"/>
      <x:c r="G18" s="27"/>
      <x:c r="H18" s="27"/>
      <x:c r="I18" s="27"/>
      <x:c r="J18" s="27"/>
      <x:c r="K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</x:row>
    <x:row r="20" ht="32" customHeight="1">
      <x:c r="A20" s="28" t="str">
        <x:v>DECISION GUARDRAILS</x:v>
      </x:c>
      <x:c r="B20" s="28"/>
      <x:c r="C20" s="27"/>
      <x:c r="D20" s="27"/>
      <x:c r="E20" s="27"/>
      <x:c r="F20" s="27"/>
      <x:c r="G20" s="27"/>
      <x:c r="H20" s="27"/>
      <x:c r="I20" s="27"/>
      <x:c r="J20" s="27"/>
      <x:c r="K20" s="27"/>
    </x:row>
    <x:row r="21">
      <x:c r="A21" s="36" t="str">
        <x:v>Primary rule: Benjamini-Hochberg FDR at 5%.</x:v>
      </x:c>
      <x:c r="B21" s="36"/>
      <x:c r="C21" s="27"/>
      <x:c r="D21" s="27"/>
      <x:c r="E21" s="27"/>
      <x:c r="F21" s="27"/>
      <x:c r="G21" s="27"/>
      <x:c r="H21" s="27"/>
      <x:c r="I21" s="27"/>
      <x:c r="J21" s="27"/>
      <x:c r="K21" s="27"/>
    </x:row>
    <x:row r="22">
      <x:c r="A22" s="36" t="str">
        <x:v>Allocation floor: 5%; allocation cap: 30%.</x:v>
      </x:c>
      <x:c r="B22" s="36"/>
      <x:c r="C22" s="27"/>
      <x:c r="D22" s="27"/>
      <x:c r="E22" s="27"/>
      <x:c r="F22" s="27"/>
      <x:c r="G22" s="27"/>
      <x:c r="H22" s="27"/>
      <x:c r="I22" s="27"/>
      <x:c r="J22" s="27"/>
      <x:c r="K22" s="27"/>
    </x:row>
    <x:row r="23">
      <x:c r="A23" s="36" t="str">
        <x:v>Ninety days supports simulated CPA effects of 10%+, not 5%.</x:v>
      </x:c>
      <x:c r="B23" s="36"/>
      <x:c r="C23" s="27"/>
      <x:c r="D23" s="27"/>
      <x:c r="E23" s="27"/>
      <x:c r="F23" s="27"/>
      <x:c r="G23" s="27"/>
      <x:c r="H23" s="27"/>
      <x:c r="I23" s="27"/>
      <x:c r="J23" s="27"/>
      <x:c r="K23" s="27"/>
    </x:row>
    <x:row r="24">
      <x:c r="A24" s="36" t="str">
        <x:v>Source is synthetic; attributed revenue is not causal lift.</x:v>
      </x:c>
      <x:c r="B24" s="36"/>
      <x:c r="C24" s="27"/>
      <x:c r="D24" s="27"/>
      <x:c r="E24" s="27"/>
      <x:c r="F24" s="27"/>
      <x:c r="G24" s="27"/>
      <x:c r="H24" s="27"/>
      <x:c r="I24" s="27"/>
      <x:c r="J24" s="27"/>
      <x:c r="K24" s="27"/>
    </x:row>
    <x:row r="25">
      <x:c r="A25" s="36" t="str">
        <x:v>Validate with a randomized holdout before scaling.</x:v>
      </x:c>
      <x:c r="B25" s="36"/>
      <x:c r="C25" s="27"/>
      <x:c r="D25" s="27"/>
      <x:c r="E25" s="27"/>
      <x:c r="F25" s="27"/>
      <x:c r="G25" s="27"/>
      <x:c r="H25" s="27"/>
      <x:c r="I25" s="27"/>
      <x:c r="J25" s="27"/>
      <x:c r="K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</x:row>
    <x:row r="28">
      <x:c r="A28" s="37" t="str">
        <x:v>Source: https://huggingface.co/datasets/solsticestudioai/saas-growth-pack | CC BY 4.0</x:v>
      </x:c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</x:row>
  </x:sheetData>
  <x:mergeCells>
    <x:mergeCell ref="A1:K2"/>
    <x:mergeCell ref="A3:K3"/>
    <x:mergeCell ref="A20:B20"/>
    <x:mergeCell ref="A21:B21"/>
    <x:mergeCell ref="A22:B22"/>
    <x:mergeCell ref="A23:B23"/>
    <x:mergeCell ref="A24:B24"/>
    <x:mergeCell ref="A25:B25"/>
    <x:mergeCell ref="A28:K28"/>
  </x:mergeCells>
  <x:pageMargins left="0.7" right="0.7" top="0.75" bottom="0.75" header="0.3" footer="0.3"/>
  <x:drawing xmlns:r="http://schemas.openxmlformats.org/officeDocument/2006/relationships" r:id="Re46b4f3bd4144d5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22" hidden="0" customWidth="1"/>
    <x:col min="13" max="13" width="22" hidden="0" customWidth="1"/>
    <x:col min="14" max="14" width="17" hidden="0" customWidth="1"/>
    <x:col min="15" max="15" width="17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48" hidden="0" customHeight="1">
      <x:c r="A1" s="12" t="str">
        <x:v>channel</x:v>
      </x:c>
      <x:c r="B1" s="12" t="str">
        <x:v>days</x:v>
      </x:c>
      <x:c r="C1" s="12" t="str">
        <x:v>impressions</x:v>
      </x:c>
      <x:c r="D1" s="12" t="str">
        <x:v>clicks</x:v>
      </x:c>
      <x:c r="E1" s="12" t="str">
        <x:v>conversions</x:v>
      </x:c>
      <x:c r="F1" s="12" t="str">
        <x:v>cost</x:v>
      </x:c>
      <x:c r="G1" s="12" t="str">
        <x:v>revenue</x:v>
      </x:c>
      <x:c r="H1" s="12" t="str">
        <x:v>profit</x:v>
      </x:c>
      <x:c r="I1" s="12" t="str">
        <x:v>valid_cpa_days</x:v>
      </x:c>
      <x:c r="J1" s="12" t="str">
        <x:v>daily_cpa_mean</x:v>
      </x:c>
      <x:c r="K1" s="12" t="str">
        <x:v>daily_cpa_std</x:v>
      </x:c>
      <x:c r="L1" s="12" t="str">
        <x:v>daily_roas_mean</x:v>
      </x:c>
      <x:c r="M1" s="12" t="str">
        <x:v>daily_conversion_rate_mean</x:v>
      </x:c>
      <x:c r="N1" s="12" t="str">
        <x:v>ctr</x:v>
      </x:c>
      <x:c r="O1" s="12" t="str">
        <x:v>conversion_rate</x:v>
      </x:c>
      <x:c r="P1" s="12" t="str">
        <x:v>cpa</x:v>
      </x:c>
      <x:c r="Q1" s="12" t="str">
        <x:v>roas</x:v>
      </x:c>
      <x:c r="R1" s="12" t="str">
        <x:v>profit_margin</x:v>
      </x:c>
    </x:row>
    <x:row r="2" ht="15" hidden="0" customHeight="1">
      <x:c r="A2" s="39" t="str">
        <x:v>Referral</x:v>
      </x:c>
      <x:c r="B2" s="39" t="n">
        <x:v>90</x:v>
      </x:c>
      <x:c r="C2" s="39" t="n">
        <x:v>261596</x:v>
      </x:c>
      <x:c r="D2" s="39" t="n">
        <x:v>21586</x:v>
      </x:c>
      <x:c r="E2" s="39" t="n">
        <x:v>589</x:v>
      </x:c>
      <x:c r="F2" s="40" t="n">
        <x:v>45853.17</x:v>
      </x:c>
      <x:c r="G2" s="40" t="n">
        <x:v>302960.31</x:v>
      </x:c>
      <x:c r="H2" s="40" t="n">
        <x:v>257107.13999999998</x:v>
      </x:c>
      <x:c r="I2" s="39" t="n">
        <x:v>90</x:v>
      </x:c>
      <x:c r="J2" s="40" t="n">
        <x:v>83.92513465608467</x:v>
      </x:c>
      <x:c r="K2" s="40" t="n">
        <x:v>45.80405437276404</x:v>
      </x:c>
      <x:c r="L2" s="42" t="n">
        <x:v>7.405761616583528</x:v>
      </x:c>
      <x:c r="M2" s="41" t="n">
        <x:v>0.02774235112791872</x:v>
      </x:c>
      <x:c r="N2" s="41" t="n">
        <x:v>0.08251655224085995</x:v>
      </x:c>
      <x:c r="O2" s="41" t="n">
        <x:v>0.027286204021124805</x:v>
      </x:c>
      <x:c r="P2" s="40" t="n">
        <x:v>77.84918505942275</x:v>
      </x:c>
      <x:c r="Q2" s="42" t="n">
        <x:v>6.607183538237378</x:v>
      </x:c>
      <x:c r="R2" s="41" t="n">
        <x:v>0.848649580534163</x:v>
      </x:c>
    </x:row>
    <x:row r="3" ht="15" hidden="0" customHeight="1">
      <x:c r="A3" s="39" t="str">
        <x:v>SEO</x:v>
      </x:c>
      <x:c r="B3" s="39" t="n">
        <x:v>90</x:v>
      </x:c>
      <x:c r="C3" s="39" t="n">
        <x:v>190135</x:v>
      </x:c>
      <x:c r="D3" s="39" t="n">
        <x:v>10559</x:v>
      </x:c>
      <x:c r="E3" s="39" t="n">
        <x:v>160</x:v>
      </x:c>
      <x:c r="F3" s="40" t="n">
        <x:v>114100.81</x:v>
      </x:c>
      <x:c r="G3" s="40" t="n">
        <x:v>69240.88</x:v>
      </x:c>
      <x:c r="H3" s="40" t="n">
        <x:v>-44859.93</x:v>
      </x:c>
      <x:c r="I3" s="39" t="n">
        <x:v>83</x:v>
      </x:c>
      <x:c r="J3" s="40" t="n">
        <x:v>795.847981927711</x:v>
      </x:c>
      <x:c r="K3" s="40" t="n">
        <x:v>307.774121682621</x:v>
      </x:c>
      <x:c r="L3" s="42" t="n">
        <x:v>0.570509767154423</x:v>
      </x:c>
      <x:c r="M3" s="41" t="n">
        <x:v>0.014543252375936566</x:v>
      </x:c>
      <x:c r="N3" s="41" t="n">
        <x:v>0.05553422568175244</x:v>
      </x:c>
      <x:c r="O3" s="41" t="n">
        <x:v>0.01515295008997064</x:v>
      </x:c>
      <x:c r="P3" s="40" t="n">
        <x:v>713.1300625</x:v>
      </x:c>
      <x:c r="Q3" s="42" t="n">
        <x:v>0.6068395132339551</x:v>
      </x:c>
      <x:c r="R3" s="41" t="n">
        <x:v>-0.6478821470784311</x:v>
      </x:c>
    </x:row>
    <x:row r="4" ht="15" hidden="0" customHeight="1">
      <x:c r="A4" s="39" t="str">
        <x:v>Outbound Sales</x:v>
      </x:c>
      <x:c r="B4" s="39" t="n">
        <x:v>90</x:v>
      </x:c>
      <x:c r="C4" s="39" t="n">
        <x:v>247120</x:v>
      </x:c>
      <x:c r="D4" s="39" t="n">
        <x:v>13943</x:v>
      </x:c>
      <x:c r="E4" s="39" t="n">
        <x:v>103</x:v>
      </x:c>
      <x:c r="F4" s="40" t="n">
        <x:v>125540.59</x:v>
      </x:c>
      <x:c r="G4" s="40" t="n">
        <x:v>66096.75</x:v>
      </x:c>
      <x:c r="H4" s="40" t="n">
        <x:v>-59443.84</x:v>
      </x:c>
      <x:c r="I4" s="39" t="n">
        <x:v>72</x:v>
      </x:c>
      <x:c r="J4" s="40" t="n">
        <x:v>1171.1949537037037</x:v>
      </x:c>
      <x:c r="K4" s="40" t="n">
        <x:v>388.0595744508858</x:v>
      </x:c>
      <x:c r="L4" s="42" t="n">
        <x:v>0.48655006215357266</x:v>
      </x:c>
      <x:c r="M4" s="41" t="n">
        <x:v>0.006574625534864893</x:v>
      </x:c>
      <x:c r="N4" s="41" t="n">
        <x:v>0.05642198122369699</x:v>
      </x:c>
      <x:c r="O4" s="41" t="n">
        <x:v>0.007387219393243921</x:v>
      </x:c>
      <x:c r="P4" s="40" t="n">
        <x:v>1218.8406796116506</x:v>
      </x:c>
      <x:c r="Q4" s="42" t="n">
        <x:v>0.526497047687923</x:v>
      </x:c>
      <x:c r="R4" s="41" t="n">
        <x:v>-0.8993458831183075</x:v>
      </x:c>
    </x:row>
    <x:row r="5" ht="15" hidden="0" customHeight="1">
      <x:c r="A5" s="39" t="str">
        <x:v>Partnerships</x:v>
      </x:c>
      <x:c r="B5" s="39" t="n">
        <x:v>90</x:v>
      </x:c>
      <x:c r="C5" s="39" t="n">
        <x:v>214262</x:v>
      </x:c>
      <x:c r="D5" s="39" t="n">
        <x:v>11506</x:v>
      </x:c>
      <x:c r="E5" s="39" t="n">
        <x:v>102</x:v>
      </x:c>
      <x:c r="F5" s="40" t="n">
        <x:v>98076.1</x:v>
      </x:c>
      <x:c r="G5" s="40" t="n">
        <x:v>50616.52</x:v>
      </x:c>
      <x:c r="H5" s="40" t="n">
        <x:v>-47459.58</x:v>
      </x:c>
      <x:c r="I5" s="39" t="n">
        <x:v>69</x:v>
      </x:c>
      <x:c r="J5" s="40" t="n">
        <x:v>876.054384057971</x:v>
      </x:c>
      <x:c r="K5" s="40" t="n">
        <x:v>289.99630198466406</x:v>
      </x:c>
      <x:c r="L5" s="42" t="n">
        <x:v>0.477244542156433</x:v>
      </x:c>
      <x:c r="M5" s="41" t="n">
        <x:v>0.008027734722912567</x:v>
      </x:c>
      <x:c r="N5" s="41" t="n">
        <x:v>0.05370060953412178</x:v>
      </x:c>
      <x:c r="O5" s="41" t="n">
        <x:v>0.008864940031288024</x:v>
      </x:c>
      <x:c r="P5" s="40" t="n">
        <x:v>961.5303921568628</x:v>
      </x:c>
      <x:c r="Q5" s="42" t="n">
        <x:v>0.516094338987786</x:v>
      </x:c>
      <x:c r="R5" s="41" t="n">
        <x:v>-0.9376302440389028</x:v>
      </x:c>
    </x:row>
    <x:row r="6" ht="15" hidden="0" customHeight="1">
      <x:c r="A6" s="39" t="str">
        <x:v>Paid Search</x:v>
      </x:c>
      <x:c r="B6" s="39" t="n">
        <x:v>90</x:v>
      </x:c>
      <x:c r="C6" s="39" t="n">
        <x:v>258522</x:v>
      </x:c>
      <x:c r="D6" s="39" t="n">
        <x:v>17458</x:v>
      </x:c>
      <x:c r="E6" s="39" t="n">
        <x:v>238</x:v>
      </x:c>
      <x:c r="F6" s="40" t="n">
        <x:v>231254.18</x:v>
      </x:c>
      <x:c r="G6" s="40" t="n">
        <x:v>116684.09</x:v>
      </x:c>
      <x:c r="H6" s="40" t="n">
        <x:v>-114570.09</x:v>
      </x:c>
      <x:c r="I6" s="39" t="n">
        <x:v>90</x:v>
      </x:c>
      <x:c r="J6" s="40" t="n">
        <x:v>1110.1713462962964</x:v>
      </x:c>
      <x:c r="K6" s="40" t="n">
        <x:v>426.4634074950545</x:v>
      </x:c>
      <x:c r="L6" s="42" t="n">
        <x:v>0.49550256881582994</x:v>
      </x:c>
      <x:c r="M6" s="41" t="n">
        <x:v>0.013631024745287311</x:v>
      </x:c>
      <x:c r="N6" s="41" t="n">
        <x:v>0.06753003612845329</x:v>
      </x:c>
      <x:c r="O6" s="41" t="n">
        <x:v>0.0136327185244587</x:v>
      </x:c>
      <x:c r="P6" s="40" t="n">
        <x:v>971.6562184873949</x:v>
      </x:c>
      <x:c r="Q6" s="42" t="n">
        <x:v>0.5045707281918104</x:v>
      </x:c>
      <x:c r="R6" s="41" t="n">
        <x:v>-0.9818827056884962</x:v>
      </x:c>
    </x:row>
    <x:row r="7" ht="15" hidden="0" customHeight="1">
      <x:c r="A7" s="39" t="str">
        <x:v>Content</x:v>
      </x:c>
      <x:c r="B7" s="39" t="n">
        <x:v>90</x:v>
      </x:c>
      <x:c r="C7" s="39" t="n">
        <x:v>179788</x:v>
      </x:c>
      <x:c r="D7" s="39" t="n">
        <x:v>9622</x:v>
      </x:c>
      <x:c r="E7" s="39" t="n">
        <x:v>112</x:v>
      </x:c>
      <x:c r="F7" s="40" t="n">
        <x:v>94213.12</x:v>
      </x:c>
      <x:c r="G7" s="40" t="n">
        <x:v>42259.31</x:v>
      </x:c>
      <x:c r="H7" s="40" t="n">
        <x:v>-51953.81</x:v>
      </x:c>
      <x:c r="I7" s="39" t="n">
        <x:v>70</x:v>
      </x:c>
      <x:c r="J7" s="40" t="n">
        <x:v>791.9856666666667</x:v>
      </x:c>
      <x:c r="K7" s="40" t="n">
        <x:v>267.6623719145466</x:v>
      </x:c>
      <x:c r="L7" s="42" t="n">
        <x:v>0.4137141677419496</x:v>
      </x:c>
      <x:c r="M7" s="41" t="n">
        <x:v>0.010792783858055233</x:v>
      </x:c>
      <x:c r="N7" s="41" t="n">
        <x:v>0.05351858855985939</x:v>
      </x:c>
      <x:c r="O7" s="41" t="n">
        <x:v>0.011639991685720224</x:v>
      </x:c>
      <x:c r="P7" s="40" t="n">
        <x:v>841.1885714285714</x:v>
      </x:c>
      <x:c r="Q7" s="42" t="n">
        <x:v>0.4485501594682354</x:v>
      </x:c>
      <x:c r="R7" s="41" t="n">
        <x:v>-1.229405070740625</x:v>
      </x:c>
    </x:row>
    <x:row r="8" ht="15" hidden="0" customHeight="1">
      <x:c r="A8" s="39" t="str">
        <x:v>LinkedIn Ads</x:v>
      </x:c>
      <x:c r="B8" s="39" t="n">
        <x:v>90</x:v>
      </x:c>
      <x:c r="C8" s="39" t="n">
        <x:v>212146</x:v>
      </x:c>
      <x:c r="D8" s="39" t="n">
        <x:v>10682</x:v>
      </x:c>
      <x:c r="E8" s="39" t="n">
        <x:v>91</x:v>
      </x:c>
      <x:c r="F8" s="40" t="n">
        <x:v>135497.65</x:v>
      </x:c>
      <x:c r="G8" s="40" t="n">
        <x:v>39146.08</x:v>
      </x:c>
      <x:c r="H8" s="40" t="n">
        <x:v>-96351.56999999999</x:v>
      </x:c>
      <x:c r="I8" s="39" t="n">
        <x:v>66</x:v>
      </x:c>
      <x:c r="J8" s="40" t="n">
        <x:v>1293.299457070707</x:v>
      </x:c>
      <x:c r="K8" s="40" t="n">
        <x:v>354.24559191312784</x:v>
      </x:c>
      <x:c r="L8" s="42" t="n">
        <x:v>0.2550727725682957</x:v>
      </x:c>
      <x:c r="M8" s="41" t="n">
        <x:v>0.007571218294748008</x:v>
      </x:c>
      <x:c r="N8" s="41" t="n">
        <x:v>0.05035211599558794</x:v>
      </x:c>
      <x:c r="O8" s="41" t="n">
        <x:v>0.00851900393184797</x:v>
      </x:c>
      <x:c r="P8" s="40" t="n">
        <x:v>1488.9851648351648</x:v>
      </x:c>
      <x:c r="Q8" s="42" t="n">
        <x:v>0.28890596995593654</x:v>
      </x:c>
      <x:c r="R8" s="41" t="n">
        <x:v>-2.4613338040488344</x:v>
      </x:c>
    </x:row>
  </x:sheetData>
  <x:pageMargins left="0.7" right="0.7" top="0.75" bottom="0.75" header="0.3" footer="0.3"/>
  <x:tableParts count="1">
    <x:tablePart xmlns:r="http://schemas.openxmlformats.org/officeDocument/2006/relationships" r:id="R23e7b8ff983448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44" hidden="0" customHeight="1">
      <x:c r="A1" s="12" t="str">
        <x:v>date</x:v>
      </x:c>
      <x:c r="B1" s="12" t="str">
        <x:v>channel</x:v>
      </x:c>
      <x:c r="C1" s="12" t="str">
        <x:v>impressions</x:v>
      </x:c>
      <x:c r="D1" s="12" t="str">
        <x:v>clicks</x:v>
      </x:c>
      <x:c r="E1" s="12" t="str">
        <x:v>conversions</x:v>
      </x:c>
      <x:c r="F1" s="12" t="str">
        <x:v>cost</x:v>
      </x:c>
      <x:c r="G1" s="12" t="str">
        <x:v>revenue</x:v>
      </x:c>
      <x:c r="H1" s="12" t="str">
        <x:v>companies_observed</x:v>
      </x:c>
      <x:c r="I1" s="12" t="str">
        <x:v>ctr</x:v>
      </x:c>
      <x:c r="J1" s="12" t="str">
        <x:v>conversion_rate</x:v>
      </x:c>
      <x:c r="K1" s="12" t="str">
        <x:v>cpa</x:v>
      </x:c>
      <x:c r="L1" s="12" t="str">
        <x:v>roas</x:v>
      </x:c>
      <x:c r="M1" s="12" t="str">
        <x:v>profit</x:v>
      </x:c>
      <x:c r="N1" s="12" t="str">
        <x:v>profit_margin</x:v>
      </x:c>
    </x:row>
    <x:row r="2" ht="15" hidden="0" customHeight="1">
      <x:c r="A2" s="43" t="str">
        <x:v>2026-01-01</x:v>
      </x:c>
      <x:c r="B2" s="39" t="str">
        <x:v>Content</x:v>
      </x:c>
      <x:c r="C2" s="39" t="n">
        <x:v>2260</x:v>
      </x:c>
      <x:c r="D2" s="39" t="n">
        <x:v>139</x:v>
      </x:c>
      <x:c r="E2" s="39" t="n">
        <x:v>1</x:v>
      </x:c>
      <x:c r="F2" s="44" t="n">
        <x:v>980.11</x:v>
      </x:c>
      <x:c r="G2" s="44" t="n">
        <x:v>274.9</x:v>
      </x:c>
      <x:c r="H2" s="39" t="n">
        <x:v>6</x:v>
      </x:c>
      <x:c r="I2" s="41" t="n">
        <x:v>0.061504424778761065</x:v>
      </x:c>
      <x:c r="J2" s="41" t="n">
        <x:v>0.007194244604316547</x:v>
      </x:c>
      <x:c r="K2" s="44" t="n">
        <x:v>980.11</x:v>
      </x:c>
      <x:c r="L2" s="42" t="n">
        <x:v>0.28047872177612715</x:v>
      </x:c>
      <x:c r="M2" s="44" t="n">
        <x:v>-705.21</x:v>
      </x:c>
      <x:c r="N2" s="41" t="n">
        <x:v>-2.565332848308476</x:v>
      </x:c>
    </x:row>
    <x:row r="3" ht="15" hidden="0" customHeight="1">
      <x:c r="A3" s="43" t="str">
        <x:v>2026-01-01</x:v>
      </x:c>
      <x:c r="B3" s="39" t="str">
        <x:v>LinkedIn Ads</x:v>
      </x:c>
      <x:c r="C3" s="39" t="n">
        <x:v>2151</x:v>
      </x:c>
      <x:c r="D3" s="39" t="n">
        <x:v>97</x:v>
      </x:c>
      <x:c r="E3" s="39" t="n">
        <x:v>1</x:v>
      </x:c>
      <x:c r="F3" s="44" t="n">
        <x:v>1228.54</x:v>
      </x:c>
      <x:c r="G3" s="44" t="n">
        <x:v>258.06</x:v>
      </x:c>
      <x:c r="H3" s="39" t="n">
        <x:v>6</x:v>
      </x:c>
      <x:c r="I3" s="41" t="n">
        <x:v>0.04509530450953045</x:v>
      </x:c>
      <x:c r="J3" s="41" t="n">
        <x:v>0.010309278350515464</x:v>
      </x:c>
      <x:c r="K3" s="44" t="n">
        <x:v>1228.54</x:v>
      </x:c>
      <x:c r="L3" s="42" t="n">
        <x:v>0.21005421068911065</x:v>
      </x:c>
      <x:c r="M3" s="44" t="n">
        <x:v>-970.48</x:v>
      </x:c>
      <x:c r="N3" s="41" t="n">
        <x:v>-3.760675811826707</x:v>
      </x:c>
    </x:row>
    <x:row r="4" ht="15" hidden="0" customHeight="1">
      <x:c r="A4" s="43" t="str">
        <x:v>2026-01-01</x:v>
      </x:c>
      <x:c r="B4" s="39" t="str">
        <x:v>Outbound Sales</x:v>
      </x:c>
      <x:c r="C4" s="39" t="n">
        <x:v>2069</x:v>
      </x:c>
      <x:c r="D4" s="39" t="n">
        <x:v>226</x:v>
      </x:c>
      <x:c r="E4" s="39" t="n">
        <x:v>1</x:v>
      </x:c>
      <x:c r="F4" s="44" t="n">
        <x:v>1663.9399999999998</x:v>
      </x:c>
      <x:c r="G4" s="44" t="n">
        <x:v>672.48</x:v>
      </x:c>
      <x:c r="H4" s="39" t="n">
        <x:v>6</x:v>
      </x:c>
      <x:c r="I4" s="41" t="n">
        <x:v>0.10923151280811987</x:v>
      </x:c>
      <x:c r="J4" s="41" t="n">
        <x:v>0.004424778761061947</x:v>
      </x:c>
      <x:c r="K4" s="44" t="n">
        <x:v>1663.9399999999998</x:v>
      </x:c>
      <x:c r="L4" s="42" t="n">
        <x:v>0.4041491880716853</x:v>
      </x:c>
      <x:c r="M4" s="44" t="n">
        <x:v>-991.4599999999998</x:v>
      </x:c>
      <x:c r="N4" s="41" t="n">
        <x:v>-1.474333809183916</x:v>
      </x:c>
    </x:row>
    <x:row r="5" ht="15" hidden="0" customHeight="1">
      <x:c r="A5" s="43" t="str">
        <x:v>2026-01-01</x:v>
      </x:c>
      <x:c r="B5" s="39" t="str">
        <x:v>Paid Search</x:v>
      </x:c>
      <x:c r="C5" s="39" t="n">
        <x:v>3070</x:v>
      </x:c>
      <x:c r="D5" s="39" t="n">
        <x:v>220</x:v>
      </x:c>
      <x:c r="E5" s="39" t="n">
        <x:v>4</x:v>
      </x:c>
      <x:c r="F5" s="44" t="n">
        <x:v>2182.07</x:v>
      </x:c>
      <x:c r="G5" s="44" t="n">
        <x:v>2063.74</x:v>
      </x:c>
      <x:c r="H5" s="39" t="n">
        <x:v>6</x:v>
      </x:c>
      <x:c r="I5" s="41" t="n">
        <x:v>0.07166123778501629</x:v>
      </x:c>
      <x:c r="J5" s="41" t="n">
        <x:v>0.01818181818181818</x:v>
      </x:c>
      <x:c r="K5" s="44" t="n">
        <x:v>545.5175</x:v>
      </x:c>
      <x:c r="L5" s="42" t="n">
        <x:v>0.945771675519117</x:v>
      </x:c>
      <x:c r="M5" s="44" t="n">
        <x:v>-118.33000000000038</x:v>
      </x:c>
      <x:c r="N5" s="41" t="n">
        <x:v>-0.057337649122467166</x:v>
      </x:c>
    </x:row>
    <x:row r="6" ht="15" hidden="0" customHeight="1">
      <x:c r="A6" s="43" t="str">
        <x:v>2026-01-01</x:v>
      </x:c>
      <x:c r="B6" s="39" t="str">
        <x:v>Partnerships</x:v>
      </x:c>
      <x:c r="C6" s="39" t="n">
        <x:v>2225</x:v>
      </x:c>
      <x:c r="D6" s="39" t="n">
        <x:v>98</x:v>
      </x:c>
      <x:c r="E6" s="39" t="n">
        <x:v>2</x:v>
      </x:c>
      <x:c r="F6" s="44" t="n">
        <x:v>1094.47</x:v>
      </x:c>
      <x:c r="G6" s="44" t="n">
        <x:v>1026.89</x:v>
      </x:c>
      <x:c r="H6" s="39" t="n">
        <x:v>6</x:v>
      </x:c>
      <x:c r="I6" s="41" t="n">
        <x:v>0.04404494382022472</x:v>
      </x:c>
      <x:c r="J6" s="41" t="n">
        <x:v>0.02040816326530612</x:v>
      </x:c>
      <x:c r="K6" s="44" t="n">
        <x:v>547.235</x:v>
      </x:c>
      <x:c r="L6" s="42" t="n">
        <x:v>0.9382532184527672</x:v>
      </x:c>
      <x:c r="M6" s="44" t="n">
        <x:v>-67.57999999999993</x:v>
      </x:c>
      <x:c r="N6" s="41" t="n">
        <x:v>-0.0658103594347982</x:v>
      </x:c>
    </x:row>
    <x:row r="7" ht="15" hidden="0" customHeight="1">
      <x:c r="A7" s="43" t="str">
        <x:v>2026-01-01</x:v>
      </x:c>
      <x:c r="B7" s="39" t="str">
        <x:v>Referral</x:v>
      </x:c>
      <x:c r="C7" s="39" t="n">
        <x:v>1947</x:v>
      </x:c>
      <x:c r="D7" s="39" t="n">
        <x:v>170</x:v>
      </x:c>
      <x:c r="E7" s="39" t="n">
        <x:v>5</x:v>
      </x:c>
      <x:c r="F7" s="44" t="n">
        <x:v>620.94</x:v>
      </x:c>
      <x:c r="G7" s="44" t="n">
        <x:v>2862.46</x:v>
      </x:c>
      <x:c r="H7" s="39" t="n">
        <x:v>6</x:v>
      </x:c>
      <x:c r="I7" s="41" t="n">
        <x:v>0.08731381612737545</x:v>
      </x:c>
      <x:c r="J7" s="41" t="n">
        <x:v>0.029411764705882353</x:v>
      </x:c>
      <x:c r="K7" s="44" t="n">
        <x:v>124.18800000000002</x:v>
      </x:c>
      <x:c r="L7" s="42" t="n">
        <x:v>4.609881792121621</x:v>
      </x:c>
      <x:c r="M7" s="44" t="n">
        <x:v>2241.52</x:v>
      </x:c>
      <x:c r="N7" s="41" t="n">
        <x:v>0.7830746979870461</x:v>
      </x:c>
    </x:row>
    <x:row r="8" ht="15" hidden="0" customHeight="1">
      <x:c r="A8" s="43" t="str">
        <x:v>2026-01-01</x:v>
      </x:c>
      <x:c r="B8" s="39" t="str">
        <x:v>SEO</x:v>
      </x:c>
      <x:c r="C8" s="39" t="n">
        <x:v>1615</x:v>
      </x:c>
      <x:c r="D8" s="39" t="n">
        <x:v>134</x:v>
      </x:c>
      <x:c r="E8" s="39" t="n">
        <x:v>2</x:v>
      </x:c>
      <x:c r="F8" s="44" t="n">
        <x:v>1229.15</x:v>
      </x:c>
      <x:c r="G8" s="44" t="n">
        <x:v>959.93</x:v>
      </x:c>
      <x:c r="H8" s="39" t="n">
        <x:v>6</x:v>
      </x:c>
      <x:c r="I8" s="41" t="n">
        <x:v>0.08297213622291022</x:v>
      </x:c>
      <x:c r="J8" s="41" t="n">
        <x:v>0.014925373134328358</x:v>
      </x:c>
      <x:c r="K8" s="44" t="n">
        <x:v>614.575</x:v>
      </x:c>
      <x:c r="L8" s="42" t="n">
        <x:v>0.780970589431721</x:v>
      </x:c>
      <x:c r="M8" s="44" t="n">
        <x:v>-269.22000000000014</x:v>
      </x:c>
      <x:c r="N8" s="41" t="n">
        <x:v>-0.2804579500588586</x:v>
      </x:c>
    </x:row>
    <x:row r="9" ht="15" hidden="0" customHeight="1">
      <x:c r="A9" s="43" t="str">
        <x:v>2026-01-02</x:v>
      </x:c>
      <x:c r="B9" s="39" t="str">
        <x:v>Content</x:v>
      </x:c>
      <x:c r="C9" s="39" t="n">
        <x:v>1598</x:v>
      </x:c>
      <x:c r="D9" s="39" t="n">
        <x:v>84</x:v>
      </x:c>
      <x:c r="E9" s="39" t="n">
        <x:v>0</x:v>
      </x:c>
      <x:c r="F9" s="44" t="n">
        <x:v>929.3100000000001</x:v>
      </x:c>
      <x:c r="G9" s="44" t="n">
        <x:v>0</x:v>
      </x:c>
      <x:c r="H9" s="39" t="n">
        <x:v>6</x:v>
      </x:c>
      <x:c r="I9" s="41" t="n">
        <x:v>0.052565707133917394</x:v>
      </x:c>
      <x:c r="J9" s="41" t="n">
        <x:v>0</x:v>
      </x:c>
      <x:c r="K9" s="44"/>
      <x:c r="L9" s="42" t="n">
        <x:v>0</x:v>
      </x:c>
      <x:c r="M9" s="44" t="n">
        <x:v>-929.3100000000001</x:v>
      </x:c>
      <x:c r="N9" s="41"/>
    </x:row>
    <x:row r="10" ht="15" hidden="0" customHeight="1">
      <x:c r="A10" s="43" t="str">
        <x:v>2026-01-02</x:v>
      </x:c>
      <x:c r="B10" s="39" t="str">
        <x:v>LinkedIn Ads</x:v>
      </x:c>
      <x:c r="C10" s="39" t="n">
        <x:v>2488</x:v>
      </x:c>
      <x:c r="D10" s="39" t="n">
        <x:v>182</x:v>
      </x:c>
      <x:c r="E10" s="39" t="n">
        <x:v>1</x:v>
      </x:c>
      <x:c r="F10" s="44" t="n">
        <x:v>1334.29</x:v>
      </x:c>
      <x:c r="G10" s="44" t="n">
        <x:v>351.92</x:v>
      </x:c>
      <x:c r="H10" s="39" t="n">
        <x:v>6</x:v>
      </x:c>
      <x:c r="I10" s="41" t="n">
        <x:v>0.07315112540192927</x:v>
      </x:c>
      <x:c r="J10" s="41" t="n">
        <x:v>0.005494505494505495</x:v>
      </x:c>
      <x:c r="K10" s="44" t="n">
        <x:v>1334.29</x:v>
      </x:c>
      <x:c r="L10" s="42" t="n">
        <x:v>0.2637507588305391</x:v>
      </x:c>
      <x:c r="M10" s="44" t="n">
        <x:v>-982.3699999999999</x:v>
      </x:c>
      <x:c r="N10" s="41" t="n">
        <x:v>-2.7914582859740844</x:v>
      </x:c>
    </x:row>
    <x:row r="11" ht="15" hidden="0" customHeight="1">
      <x:c r="A11" s="43" t="str">
        <x:v>2026-01-02</x:v>
      </x:c>
      <x:c r="B11" s="39" t="str">
        <x:v>Outbound Sales</x:v>
      </x:c>
      <x:c r="C11" s="39" t="n">
        <x:v>2836</x:v>
      </x:c>
      <x:c r="D11" s="39" t="n">
        <x:v>54</x:v>
      </x:c>
      <x:c r="E11" s="39" t="n">
        <x:v>0</x:v>
      </x:c>
      <x:c r="F11" s="44" t="n">
        <x:v>1140.62</x:v>
      </x:c>
      <x:c r="G11" s="44" t="n">
        <x:v>0</x:v>
      </x:c>
      <x:c r="H11" s="39" t="n">
        <x:v>6</x:v>
      </x:c>
      <x:c r="I11" s="41" t="n">
        <x:v>0.01904090267983075</x:v>
      </x:c>
      <x:c r="J11" s="41" t="n">
        <x:v>0</x:v>
      </x:c>
      <x:c r="K11" s="44"/>
      <x:c r="L11" s="42" t="n">
        <x:v>0</x:v>
      </x:c>
      <x:c r="M11" s="44" t="n">
        <x:v>-1140.62</x:v>
      </x:c>
      <x:c r="N11" s="41"/>
    </x:row>
    <x:row r="12" ht="15" hidden="0" customHeight="1">
      <x:c r="A12" s="43" t="str">
        <x:v>2026-01-02</x:v>
      </x:c>
      <x:c r="B12" s="39" t="str">
        <x:v>Paid Search</x:v>
      </x:c>
      <x:c r="C12" s="39" t="n">
        <x:v>3072</x:v>
      </x:c>
      <x:c r="D12" s="39" t="n">
        <x:v>336</x:v>
      </x:c>
      <x:c r="E12" s="39" t="n">
        <x:v>4</x:v>
      </x:c>
      <x:c r="F12" s="44" t="n">
        <x:v>2363.5299999999997</x:v>
      </x:c>
      <x:c r="G12" s="44" t="n">
        <x:v>1692.4</x:v>
      </x:c>
      <x:c r="H12" s="39" t="n">
        <x:v>6</x:v>
      </x:c>
      <x:c r="I12" s="41" t="n">
        <x:v>0.109375</x:v>
      </x:c>
      <x:c r="J12" s="41" t="n">
        <x:v>0.011904761904761904</x:v>
      </x:c>
      <x:c r="K12" s="44" t="n">
        <x:v>590.8824999999999</x:v>
      </x:c>
      <x:c r="L12" s="42" t="n">
        <x:v>0.7160476067576889</x:v>
      </x:c>
      <x:c r="M12" s="44" t="n">
        <x:v>-671.1299999999997</x:v>
      </x:c>
      <x:c r="N12" s="41" t="n">
        <x:v>-0.39655518789884164</x:v>
      </x:c>
    </x:row>
    <x:row r="13" ht="15" hidden="0" customHeight="1">
      <x:c r="A13" s="43" t="str">
        <x:v>2026-01-02</x:v>
      </x:c>
      <x:c r="B13" s="39" t="str">
        <x:v>Partnerships</x:v>
      </x:c>
      <x:c r="C13" s="39" t="n">
        <x:v>1940</x:v>
      </x:c>
      <x:c r="D13" s="39" t="n">
        <x:v>59</x:v>
      </x:c>
      <x:c r="E13" s="39" t="n">
        <x:v>1</x:v>
      </x:c>
      <x:c r="F13" s="44" t="n">
        <x:v>902.89</x:v>
      </x:c>
      <x:c r="G13" s="44" t="n">
        <x:v>344.62</x:v>
      </x:c>
      <x:c r="H13" s="39" t="n">
        <x:v>6</x:v>
      </x:c>
      <x:c r="I13" s="41" t="n">
        <x:v>0.030412371134020618</x:v>
      </x:c>
      <x:c r="J13" s="41" t="n">
        <x:v>0.01694915254237288</x:v>
      </x:c>
      <x:c r="K13" s="44" t="n">
        <x:v>902.89</x:v>
      </x:c>
      <x:c r="L13" s="42" t="n">
        <x:v>0.3816854766361351</x:v>
      </x:c>
      <x:c r="M13" s="44" t="n">
        <x:v>-558.27</x:v>
      </x:c>
      <x:c r="N13" s="41" t="n">
        <x:v>-1.6199582148453369</x:v>
      </x:c>
    </x:row>
    <x:row r="14" ht="15" hidden="0" customHeight="1">
      <x:c r="A14" s="43" t="str">
        <x:v>2026-01-02</x:v>
      </x:c>
      <x:c r="B14" s="39" t="str">
        <x:v>Referral</x:v>
      </x:c>
      <x:c r="C14" s="39" t="n">
        <x:v>2491</x:v>
      </x:c>
      <x:c r="D14" s="39" t="n">
        <x:v>263</x:v>
      </x:c>
      <x:c r="E14" s="39" t="n">
        <x:v>6</x:v>
      </x:c>
      <x:c r="F14" s="44" t="n">
        <x:v>417.73</x:v>
      </x:c>
      <x:c r="G14" s="44" t="n">
        <x:v>2946.95</x:v>
      </x:c>
      <x:c r="H14" s="39" t="n">
        <x:v>6</x:v>
      </x:c>
      <x:c r="I14" s="41" t="n">
        <x:v>0.1055800883179446</x:v>
      </x:c>
      <x:c r="J14" s="41" t="n">
        <x:v>0.022813688212927757</x:v>
      </x:c>
      <x:c r="K14" s="44" t="n">
        <x:v>69.62166666666667</x:v>
      </x:c>
      <x:c r="L14" s="42" t="n">
        <x:v>7.054676465659636</x:v>
      </x:c>
      <x:c r="M14" s="44" t="n">
        <x:v>2529.22</x:v>
      </x:c>
      <x:c r="N14" s="41" t="n">
        <x:v>0.8582500551417567</x:v>
      </x:c>
    </x:row>
    <x:row r="15" ht="15" hidden="0" customHeight="1">
      <x:c r="A15" s="43" t="str">
        <x:v>2026-01-02</x:v>
      </x:c>
      <x:c r="B15" s="39" t="str">
        <x:v>SEO</x:v>
      </x:c>
      <x:c r="C15" s="39" t="n">
        <x:v>2006</x:v>
      </x:c>
      <x:c r="D15" s="39" t="n">
        <x:v>110</x:v>
      </x:c>
      <x:c r="E15" s="39" t="n">
        <x:v>2</x:v>
      </x:c>
      <x:c r="F15" s="44" t="n">
        <x:v>1175.92</x:v>
      </x:c>
      <x:c r="G15" s="44" t="n">
        <x:v>983.36</x:v>
      </x:c>
      <x:c r="H15" s="39" t="n">
        <x:v>6</x:v>
      </x:c>
      <x:c r="I15" s="41" t="n">
        <x:v>0.054835493519441676</x:v>
      </x:c>
      <x:c r="J15" s="41" t="n">
        <x:v>0.01818181818181818</x:v>
      </x:c>
      <x:c r="K15" s="44" t="n">
        <x:v>587.96</x:v>
      </x:c>
      <x:c r="L15" s="42" t="n">
        <x:v>0.8362473637662425</x:v>
      </x:c>
      <x:c r="M15" s="44" t="n">
        <x:v>-192.56000000000006</x:v>
      </x:c>
      <x:c r="N15" s="41" t="n">
        <x:v>-0.1958184184835666</x:v>
      </x:c>
    </x:row>
    <x:row r="16" ht="15" hidden="0" customHeight="1">
      <x:c r="A16" s="43" t="str">
        <x:v>2026-01-03</x:v>
      </x:c>
      <x:c r="B16" s="39" t="str">
        <x:v>Content</x:v>
      </x:c>
      <x:c r="C16" s="39" t="n">
        <x:v>1865</x:v>
      </x:c>
      <x:c r="D16" s="39" t="n">
        <x:v>112</x:v>
      </x:c>
      <x:c r="E16" s="39" t="n">
        <x:v>0</x:v>
      </x:c>
      <x:c r="F16" s="44" t="n">
        <x:v>713.02</x:v>
      </x:c>
      <x:c r="G16" s="44" t="n">
        <x:v>0</x:v>
      </x:c>
      <x:c r="H16" s="39" t="n">
        <x:v>6</x:v>
      </x:c>
      <x:c r="I16" s="41" t="n">
        <x:v>0.060053619302949064</x:v>
      </x:c>
      <x:c r="J16" s="41" t="n">
        <x:v>0</x:v>
      </x:c>
      <x:c r="K16" s="44"/>
      <x:c r="L16" s="42" t="n">
        <x:v>0</x:v>
      </x:c>
      <x:c r="M16" s="44" t="n">
        <x:v>-713.02</x:v>
      </x:c>
      <x:c r="N16" s="41"/>
    </x:row>
    <x:row r="17" ht="15" hidden="0" customHeight="1">
      <x:c r="A17" s="43" t="str">
        <x:v>2026-01-03</x:v>
      </x:c>
      <x:c r="B17" s="39" t="str">
        <x:v>LinkedIn Ads</x:v>
      </x:c>
      <x:c r="C17" s="39" t="n">
        <x:v>1798</x:v>
      </x:c>
      <x:c r="D17" s="39" t="n">
        <x:v>81</x:v>
      </x:c>
      <x:c r="E17" s="39" t="n">
        <x:v>0</x:v>
      </x:c>
      <x:c r="F17" s="44" t="n">
        <x:v>1011.94</x:v>
      </x:c>
      <x:c r="G17" s="44" t="n">
        <x:v>0</x:v>
      </x:c>
      <x:c r="H17" s="39" t="n">
        <x:v>6</x:v>
      </x:c>
      <x:c r="I17" s="41" t="n">
        <x:v>0.04505005561735261</x:v>
      </x:c>
      <x:c r="J17" s="41" t="n">
        <x:v>0</x:v>
      </x:c>
      <x:c r="K17" s="44"/>
      <x:c r="L17" s="42" t="n">
        <x:v>0</x:v>
      </x:c>
      <x:c r="M17" s="44" t="n">
        <x:v>-1011.94</x:v>
      </x:c>
      <x:c r="N17" s="41"/>
    </x:row>
    <x:row r="18" ht="15" hidden="0" customHeight="1">
      <x:c r="A18" s="43" t="str">
        <x:v>2026-01-03</x:v>
      </x:c>
      <x:c r="B18" s="39" t="str">
        <x:v>Outbound Sales</x:v>
      </x:c>
      <x:c r="C18" s="39" t="n">
        <x:v>3111</x:v>
      </x:c>
      <x:c r="D18" s="39" t="n">
        <x:v>94</x:v>
      </x:c>
      <x:c r="E18" s="39" t="n">
        <x:v>1</x:v>
      </x:c>
      <x:c r="F18" s="44" t="n">
        <x:v>907.4</x:v>
      </x:c>
      <x:c r="G18" s="44" t="n">
        <x:v>655.29</x:v>
      </x:c>
      <x:c r="H18" s="39" t="n">
        <x:v>6</x:v>
      </x:c>
      <x:c r="I18" s="41" t="n">
        <x:v>0.030215364834458372</x:v>
      </x:c>
      <x:c r="J18" s="41" t="n">
        <x:v>0.010638297872340425</x:v>
      </x:c>
      <x:c r="K18" s="44" t="n">
        <x:v>907.4</x:v>
      </x:c>
      <x:c r="L18" s="42" t="n">
        <x:v>0.7221622217324223</x:v>
      </x:c>
      <x:c r="M18" s="44" t="n">
        <x:v>-252.11</x:v>
      </x:c>
      <x:c r="N18" s="41" t="n">
        <x:v>-0.3847304246974622</x:v>
      </x:c>
    </x:row>
    <x:row r="19" ht="15" hidden="0" customHeight="1">
      <x:c r="A19" s="43" t="str">
        <x:v>2026-01-03</x:v>
      </x:c>
      <x:c r="B19" s="39" t="str">
        <x:v>Paid Search</x:v>
      </x:c>
      <x:c r="C19" s="39" t="n">
        <x:v>2398</x:v>
      </x:c>
      <x:c r="D19" s="39" t="n">
        <x:v>102</x:v>
      </x:c>
      <x:c r="E19" s="39" t="n">
        <x:v>1</x:v>
      </x:c>
      <x:c r="F19" s="44" t="n">
        <x:v>1720.57</x:v>
      </x:c>
      <x:c r="G19" s="44" t="n">
        <x:v>689.43</x:v>
      </x:c>
      <x:c r="H19" s="39" t="n">
        <x:v>6</x:v>
      </x:c>
      <x:c r="I19" s="41" t="n">
        <x:v>0.042535446205170975</x:v>
      </x:c>
      <x:c r="J19" s="41" t="n">
        <x:v>0.00980392156862745</x:v>
      </x:c>
      <x:c r="K19" s="44" t="n">
        <x:v>1720.57</x:v>
      </x:c>
      <x:c r="L19" s="42" t="n">
        <x:v>0.40069860569462445</x:v>
      </x:c>
      <x:c r="M19" s="44" t="n">
        <x:v>-1031.1399999999999</x:v>
      </x:c>
      <x:c r="N19" s="41" t="n">
        <x:v>-1.4956413268932305</x:v>
      </x:c>
    </x:row>
    <x:row r="20" ht="15" hidden="0" customHeight="1">
      <x:c r="A20" s="43" t="str">
        <x:v>2026-01-03</x:v>
      </x:c>
      <x:c r="B20" s="39" t="str">
        <x:v>Partnerships</x:v>
      </x:c>
      <x:c r="C20" s="39" t="n">
        <x:v>1817</x:v>
      </x:c>
      <x:c r="D20" s="39" t="n">
        <x:v>56</x:v>
      </x:c>
      <x:c r="E20" s="39" t="n">
        <x:v>0</x:v>
      </x:c>
      <x:c r="F20" s="44" t="n">
        <x:v>724.97</x:v>
      </x:c>
      <x:c r="G20" s="44" t="n">
        <x:v>0</x:v>
      </x:c>
      <x:c r="H20" s="39" t="n">
        <x:v>6</x:v>
      </x:c>
      <x:c r="I20" s="41" t="n">
        <x:v>0.030820033021463952</x:v>
      </x:c>
      <x:c r="J20" s="41" t="n">
        <x:v>0</x:v>
      </x:c>
      <x:c r="K20" s="44"/>
      <x:c r="L20" s="42" t="n">
        <x:v>0</x:v>
      </x:c>
      <x:c r="M20" s="44" t="n">
        <x:v>-724.97</x:v>
      </x:c>
      <x:c r="N20" s="41"/>
    </x:row>
    <x:row r="21" ht="15" hidden="0" customHeight="1">
      <x:c r="A21" s="43" t="str">
        <x:v>2026-01-03</x:v>
      </x:c>
      <x:c r="B21" s="39" t="str">
        <x:v>Referral</x:v>
      </x:c>
      <x:c r="C21" s="39" t="n">
        <x:v>3147</x:v>
      </x:c>
      <x:c r="D21" s="39" t="n">
        <x:v>317</x:v>
      </x:c>
      <x:c r="E21" s="39" t="n">
        <x:v>9</x:v>
      </x:c>
      <x:c r="F21" s="44" t="n">
        <x:v>358.33000000000004</x:v>
      </x:c>
      <x:c r="G21" s="44" t="n">
        <x:v>3851.31</x:v>
      </x:c>
      <x:c r="H21" s="39" t="n">
        <x:v>6</x:v>
      </x:c>
      <x:c r="I21" s="41" t="n">
        <x:v>0.10073085478233237</x:v>
      </x:c>
      <x:c r="J21" s="41" t="n">
        <x:v>0.028391167192429023</x:v>
      </x:c>
      <x:c r="K21" s="44" t="n">
        <x:v>39.81444444444445</x:v>
      </x:c>
      <x:c r="L21" s="42" t="n">
        <x:v>10.747941841319452</x:v>
      </x:c>
      <x:c r="M21" s="44" t="n">
        <x:v>3492.98</x:v>
      </x:c>
      <x:c r="N21" s="41" t="n">
        <x:v>0.9069589308572927</x:v>
      </x:c>
    </x:row>
    <x:row r="22" ht="15" hidden="0" customHeight="1">
      <x:c r="A22" s="43" t="str">
        <x:v>2026-01-03</x:v>
      </x:c>
      <x:c r="B22" s="39" t="str">
        <x:v>SEO</x:v>
      </x:c>
      <x:c r="C22" s="39" t="n">
        <x:v>2603</x:v>
      </x:c>
      <x:c r="D22" s="39" t="n">
        <x:v>105</x:v>
      </x:c>
      <x:c r="E22" s="39" t="n">
        <x:v>0</x:v>
      </x:c>
      <x:c r="F22" s="44" t="n">
        <x:v>814.14</x:v>
      </x:c>
      <x:c r="G22" s="44" t="n">
        <x:v>0</x:v>
      </x:c>
      <x:c r="H22" s="39" t="n">
        <x:v>6</x:v>
      </x:c>
      <x:c r="I22" s="41" t="n">
        <x:v>0.040338071456012294</x:v>
      </x:c>
      <x:c r="J22" s="41" t="n">
        <x:v>0</x:v>
      </x:c>
      <x:c r="K22" s="44"/>
      <x:c r="L22" s="42" t="n">
        <x:v>0</x:v>
      </x:c>
      <x:c r="M22" s="44" t="n">
        <x:v>-814.14</x:v>
      </x:c>
      <x:c r="N22" s="41"/>
    </x:row>
    <x:row r="23" ht="15" hidden="0" customHeight="1">
      <x:c r="A23" s="43" t="str">
        <x:v>2026-01-04</x:v>
      </x:c>
      <x:c r="B23" s="39" t="str">
        <x:v>Content</x:v>
      </x:c>
      <x:c r="C23" s="39" t="n">
        <x:v>1594</x:v>
      </x:c>
      <x:c r="D23" s="39" t="n">
        <x:v>107</x:v>
      </x:c>
      <x:c r="E23" s="39" t="n">
        <x:v>0</x:v>
      </x:c>
      <x:c r="F23" s="44" t="n">
        <x:v>815.93</x:v>
      </x:c>
      <x:c r="G23" s="44" t="n">
        <x:v>0</x:v>
      </x:c>
      <x:c r="H23" s="39" t="n">
        <x:v>6</x:v>
      </x:c>
      <x:c r="I23" s="41" t="n">
        <x:v>0.0671267252195734</x:v>
      </x:c>
      <x:c r="J23" s="41" t="n">
        <x:v>0</x:v>
      </x:c>
      <x:c r="K23" s="44"/>
      <x:c r="L23" s="42" t="n">
        <x:v>0</x:v>
      </x:c>
      <x:c r="M23" s="44" t="n">
        <x:v>-815.93</x:v>
      </x:c>
      <x:c r="N23" s="41"/>
    </x:row>
    <x:row r="24" ht="15" hidden="0" customHeight="1">
      <x:c r="A24" s="43" t="str">
        <x:v>2026-01-04</x:v>
      </x:c>
      <x:c r="B24" s="39" t="str">
        <x:v>LinkedIn Ads</x:v>
      </x:c>
      <x:c r="C24" s="39" t="n">
        <x:v>1802</x:v>
      </x:c>
      <x:c r="D24" s="39" t="n">
        <x:v>83</x:v>
      </x:c>
      <x:c r="E24" s="39" t="n">
        <x:v>0</x:v>
      </x:c>
      <x:c r="F24" s="44" t="n">
        <x:v>1084.79</x:v>
      </x:c>
      <x:c r="G24" s="44" t="n">
        <x:v>0</x:v>
      </x:c>
      <x:c r="H24" s="39" t="n">
        <x:v>6</x:v>
      </x:c>
      <x:c r="I24" s="41" t="n">
        <x:v>0.04605993340732519</x:v>
      </x:c>
      <x:c r="J24" s="41" t="n">
        <x:v>0</x:v>
      </x:c>
      <x:c r="K24" s="44"/>
      <x:c r="L24" s="42" t="n">
        <x:v>0</x:v>
      </x:c>
      <x:c r="M24" s="44" t="n">
        <x:v>-1084.79</x:v>
      </x:c>
      <x:c r="N24" s="41"/>
    </x:row>
    <x:row r="25" ht="15" hidden="0" customHeight="1">
      <x:c r="A25" s="43" t="str">
        <x:v>2026-01-04</x:v>
      </x:c>
      <x:c r="B25" s="39" t="str">
        <x:v>Outbound Sales</x:v>
      </x:c>
      <x:c r="C25" s="39" t="n">
        <x:v>2053</x:v>
      </x:c>
      <x:c r="D25" s="39" t="n">
        <x:v>107</x:v>
      </x:c>
      <x:c r="E25" s="39" t="n">
        <x:v>1</x:v>
      </x:c>
      <x:c r="F25" s="44" t="n">
        <x:v>1350.1</x:v>
      </x:c>
      <x:c r="G25" s="44" t="n">
        <x:v>784.91</x:v>
      </x:c>
      <x:c r="H25" s="39" t="n">
        <x:v>6</x:v>
      </x:c>
      <x:c r="I25" s="41" t="n">
        <x:v>0.05211885046273746</x:v>
      </x:c>
      <x:c r="J25" s="41" t="n">
        <x:v>0.009345794392523364</x:v>
      </x:c>
      <x:c r="K25" s="44" t="n">
        <x:v>1350.1</x:v>
      </x:c>
      <x:c r="L25" s="42" t="n">
        <x:v>0.581371750240723</x:v>
      </x:c>
      <x:c r="M25" s="44" t="n">
        <x:v>-565.1899999999999</x:v>
      </x:c>
      <x:c r="N25" s="41" t="n">
        <x:v>-0.7200698169216853</x:v>
      </x:c>
    </x:row>
    <x:row r="26" ht="15" hidden="0" customHeight="1">
      <x:c r="A26" s="43" t="str">
        <x:v>2026-01-04</x:v>
      </x:c>
      <x:c r="B26" s="39" t="str">
        <x:v>Paid Search</x:v>
      </x:c>
      <x:c r="C26" s="39" t="n">
        <x:v>2204</x:v>
      </x:c>
      <x:c r="D26" s="39" t="n">
        <x:v>130</x:v>
      </x:c>
      <x:c r="E26" s="39" t="n">
        <x:v>2</x:v>
      </x:c>
      <x:c r="F26" s="44" t="n">
        <x:v>1918.9</x:v>
      </x:c>
      <x:c r="G26" s="44" t="n">
        <x:v>997.8599999999999</x:v>
      </x:c>
      <x:c r="H26" s="39" t="n">
        <x:v>6</x:v>
      </x:c>
      <x:c r="I26" s="41" t="n">
        <x:v>0.05898366606170599</x:v>
      </x:c>
      <x:c r="J26" s="41" t="n">
        <x:v>0.015384615384615385</x:v>
      </x:c>
      <x:c r="K26" s="44" t="n">
        <x:v>959.45</x:v>
      </x:c>
      <x:c r="L26" s="42" t="n">
        <x:v>0.5200166762207514</x:v>
      </x:c>
      <x:c r="M26" s="44" t="n">
        <x:v>-921.0400000000002</x:v>
      </x:c>
      <x:c r="N26" s="41" t="n">
        <x:v>-0.9230152526406513</x:v>
      </x:c>
    </x:row>
    <x:row r="27" ht="15" hidden="0" customHeight="1">
      <x:c r="A27" s="43" t="str">
        <x:v>2026-01-04</x:v>
      </x:c>
      <x:c r="B27" s="39" t="str">
        <x:v>Partnerships</x:v>
      </x:c>
      <x:c r="C27" s="39" t="n">
        <x:v>2586</x:v>
      </x:c>
      <x:c r="D27" s="39" t="n">
        <x:v>121</x:v>
      </x:c>
      <x:c r="E27" s="39" t="n">
        <x:v>1</x:v>
      </x:c>
      <x:c r="F27" s="44" t="n">
        <x:v>916.84</x:v>
      </x:c>
      <x:c r="G27" s="44" t="n">
        <x:v>709.25</x:v>
      </x:c>
      <x:c r="H27" s="39" t="n">
        <x:v>6</x:v>
      </x:c>
      <x:c r="I27" s="41" t="n">
        <x:v>0.046790409899458624</x:v>
      </x:c>
      <x:c r="J27" s="41" t="n">
        <x:v>0.008264462809917356</x:v>
      </x:c>
      <x:c r="K27" s="44" t="n">
        <x:v>916.84</x:v>
      </x:c>
      <x:c r="L27" s="42" t="n">
        <x:v>0.7735809955935604</x:v>
      </x:c>
      <x:c r="M27" s="44" t="n">
        <x:v>-207.59000000000003</x:v>
      </x:c>
      <x:c r="N27" s="41" t="n">
        <x:v>-0.2926894606979204</x:v>
      </x:c>
    </x:row>
    <x:row r="28" ht="15" hidden="0" customHeight="1">
      <x:c r="A28" s="43" t="str">
        <x:v>2026-01-04</x:v>
      </x:c>
      <x:c r="B28" s="39" t="str">
        <x:v>Referral</x:v>
      </x:c>
      <x:c r="C28" s="39" t="n">
        <x:v>3472</x:v>
      </x:c>
      <x:c r="D28" s="39" t="n">
        <x:v>358</x:v>
      </x:c>
      <x:c r="E28" s="39" t="n">
        <x:v>7</x:v>
      </x:c>
      <x:c r="F28" s="44" t="n">
        <x:v>476.01</x:v>
      </x:c>
      <x:c r="G28" s="44" t="n">
        <x:v>3327.14</x:v>
      </x:c>
      <x:c r="H28" s="39" t="n">
        <x:v>6</x:v>
      </x:c>
      <x:c r="I28" s="41" t="n">
        <x:v>0.10311059907834101</x:v>
      </x:c>
      <x:c r="J28" s="41" t="n">
        <x:v>0.019553072625698324</x:v>
      </x:c>
      <x:c r="K28" s="44" t="n">
        <x:v>68.00142857142858</x:v>
      </x:c>
      <x:c r="L28" s="42" t="n">
        <x:v>6.989643074725321</x:v>
      </x:c>
      <x:c r="M28" s="44" t="n">
        <x:v>2851.13</x:v>
      </x:c>
      <x:c r="N28" s="41" t="n">
        <x:v>0.8569311781289637</x:v>
      </x:c>
    </x:row>
    <x:row r="29" ht="15" hidden="0" customHeight="1">
      <x:c r="A29" s="43" t="str">
        <x:v>2026-01-04</x:v>
      </x:c>
      <x:c r="B29" s="39" t="str">
        <x:v>SEO</x:v>
      </x:c>
      <x:c r="C29" s="39" t="n">
        <x:v>2605</x:v>
      </x:c>
      <x:c r="D29" s="39" t="n">
        <x:v>110</x:v>
      </x:c>
      <x:c r="E29" s="39" t="n">
        <x:v>2</x:v>
      </x:c>
      <x:c r="F29" s="44" t="n">
        <x:v>1033.85</x:v>
      </x:c>
      <x:c r="G29" s="44" t="n">
        <x:v>732.72</x:v>
      </x:c>
      <x:c r="H29" s="39" t="n">
        <x:v>6</x:v>
      </x:c>
      <x:c r="I29" s="41" t="n">
        <x:v>0.04222648752399232</x:v>
      </x:c>
      <x:c r="J29" s="41" t="n">
        <x:v>0.01818181818181818</x:v>
      </x:c>
      <x:c r="K29" s="44" t="n">
        <x:v>516.925</x:v>
      </x:c>
      <x:c r="L29" s="42" t="n">
        <x:v>0.7087295062146347</x:v>
      </x:c>
      <x:c r="M29" s="44" t="n">
        <x:v>-301.1299999999999</x:v>
      </x:c>
      <x:c r="N29" s="41" t="n">
        <x:v>-0.41097554318156987</x:v>
      </x:c>
    </x:row>
    <x:row r="30" ht="15" hidden="0" customHeight="1">
      <x:c r="A30" s="43" t="str">
        <x:v>2026-01-05</x:v>
      </x:c>
      <x:c r="B30" s="39" t="str">
        <x:v>Content</x:v>
      </x:c>
      <x:c r="C30" s="39" t="n">
        <x:v>1776</x:v>
      </x:c>
      <x:c r="D30" s="39" t="n">
        <x:v>91</x:v>
      </x:c>
      <x:c r="E30" s="39" t="n">
        <x:v>1</x:v>
      </x:c>
      <x:c r="F30" s="44" t="n">
        <x:v>952.02</x:v>
      </x:c>
      <x:c r="G30" s="44" t="n">
        <x:v>259.48</x:v>
      </x:c>
      <x:c r="H30" s="39" t="n">
        <x:v>6</x:v>
      </x:c>
      <x:c r="I30" s="41" t="n">
        <x:v>0.051238738738738736</x:v>
      </x:c>
      <x:c r="J30" s="41" t="n">
        <x:v>0.01098901098901099</x:v>
      </x:c>
      <x:c r="K30" s="44" t="n">
        <x:v>952.02</x:v>
      </x:c>
      <x:c r="L30" s="42" t="n">
        <x:v>0.27255729921640304</x:v>
      </x:c>
      <x:c r="M30" s="44" t="n">
        <x:v>-692.54</x:v>
      </x:c>
      <x:c r="N30" s="41" t="n">
        <x:v>-2.66895329119778</x:v>
      </x:c>
    </x:row>
    <x:row r="31" ht="15" hidden="0" customHeight="1">
      <x:c r="A31" s="43" t="str">
        <x:v>2026-01-05</x:v>
      </x:c>
      <x:c r="B31" s="39" t="str">
        <x:v>LinkedIn Ads</x:v>
      </x:c>
      <x:c r="C31" s="39" t="n">
        <x:v>2110</x:v>
      </x:c>
      <x:c r="D31" s="39" t="n">
        <x:v>112</x:v>
      </x:c>
      <x:c r="E31" s="39" t="n">
        <x:v>1</x:v>
      </x:c>
      <x:c r="F31" s="44" t="n">
        <x:v>1412.51</x:v>
      </x:c>
      <x:c r="G31" s="44" t="n">
        <x:v>718.08</x:v>
      </x:c>
      <x:c r="H31" s="39" t="n">
        <x:v>6</x:v>
      </x:c>
      <x:c r="I31" s="41" t="n">
        <x:v>0.05308056872037915</x:v>
      </x:c>
      <x:c r="J31" s="41" t="n">
        <x:v>0.008928571428571428</x:v>
      </x:c>
      <x:c r="K31" s="44" t="n">
        <x:v>1412.51</x:v>
      </x:c>
      <x:c r="L31" s="42" t="n">
        <x:v>0.5083716221478078</x:v>
      </x:c>
      <x:c r="M31" s="44" t="n">
        <x:v>-694.43</x:v>
      </x:c>
      <x:c r="N31" s="41" t="n">
        <x:v>-0.967064950980392</x:v>
      </x:c>
    </x:row>
    <x:row r="32" ht="15" hidden="0" customHeight="1">
      <x:c r="A32" s="43" t="str">
        <x:v>2026-01-05</x:v>
      </x:c>
      <x:c r="B32" s="39" t="str">
        <x:v>Outbound Sales</x:v>
      </x:c>
      <x:c r="C32" s="39" t="n">
        <x:v>1736</x:v>
      </x:c>
      <x:c r="D32" s="39" t="n">
        <x:v>48</x:v>
      </x:c>
      <x:c r="E32" s="39" t="n">
        <x:v>0</x:v>
      </x:c>
      <x:c r="F32" s="44" t="n">
        <x:v>1139.67</x:v>
      </x:c>
      <x:c r="G32" s="44" t="n">
        <x:v>0</x:v>
      </x:c>
      <x:c r="H32" s="39" t="n">
        <x:v>6</x:v>
      </x:c>
      <x:c r="I32" s="41" t="n">
        <x:v>0.027649769585253458</x:v>
      </x:c>
      <x:c r="J32" s="41" t="n">
        <x:v>0</x:v>
      </x:c>
      <x:c r="K32" s="44"/>
      <x:c r="L32" s="42" t="n">
        <x:v>0</x:v>
      </x:c>
      <x:c r="M32" s="44" t="n">
        <x:v>-1139.67</x:v>
      </x:c>
      <x:c r="N32" s="41"/>
    </x:row>
    <x:row r="33" ht="15" hidden="0" customHeight="1">
      <x:c r="A33" s="43" t="str">
        <x:v>2026-01-05</x:v>
      </x:c>
      <x:c r="B33" s="39" t="str">
        <x:v>Paid Search</x:v>
      </x:c>
      <x:c r="C33" s="39" t="n">
        <x:v>2356</x:v>
      </x:c>
      <x:c r="D33" s="39" t="n">
        <x:v>151</x:v>
      </x:c>
      <x:c r="E33" s="39" t="n">
        <x:v>2</x:v>
      </x:c>
      <x:c r="F33" s="44" t="n">
        <x:v>2483.43</x:v>
      </x:c>
      <x:c r="G33" s="44" t="n">
        <x:v>932.99</x:v>
      </x:c>
      <x:c r="H33" s="39" t="n">
        <x:v>6</x:v>
      </x:c>
      <x:c r="I33" s="41" t="n">
        <x:v>0.06409168081494057</x:v>
      </x:c>
      <x:c r="J33" s="41" t="n">
        <x:v>0.013245033112582781</x:v>
      </x:c>
      <x:c r="K33" s="44" t="n">
        <x:v>1241.715</x:v>
      </x:c>
      <x:c r="L33" s="42" t="n">
        <x:v>0.37568604712031345</x:v>
      </x:c>
      <x:c r="M33" s="44" t="n">
        <x:v>-1550.4399999999998</x:v>
      </x:c>
      <x:c r="N33" s="41" t="n">
        <x:v>-1.6617970181888335</x:v>
      </x:c>
    </x:row>
    <x:row r="34" ht="15" hidden="0" customHeight="1">
      <x:c r="A34" s="43" t="str">
        <x:v>2026-01-05</x:v>
      </x:c>
      <x:c r="B34" s="39" t="str">
        <x:v>Partnerships</x:v>
      </x:c>
      <x:c r="C34" s="39" t="n">
        <x:v>2368</x:v>
      </x:c>
      <x:c r="D34" s="39" t="n">
        <x:v>59</x:v>
      </x:c>
      <x:c r="E34" s="39" t="n">
        <x:v>0</x:v>
      </x:c>
      <x:c r="F34" s="44" t="n">
        <x:v>940.5999999999999</x:v>
      </x:c>
      <x:c r="G34" s="44" t="n">
        <x:v>0</x:v>
      </x:c>
      <x:c r="H34" s="39" t="n">
        <x:v>6</x:v>
      </x:c>
      <x:c r="I34" s="41" t="n">
        <x:v>0.02491554054054054</x:v>
      </x:c>
      <x:c r="J34" s="41" t="n">
        <x:v>0</x:v>
      </x:c>
      <x:c r="K34" s="44"/>
      <x:c r="L34" s="42" t="n">
        <x:v>0</x:v>
      </x:c>
      <x:c r="M34" s="44" t="n">
        <x:v>-940.5999999999999</x:v>
      </x:c>
      <x:c r="N34" s="41"/>
    </x:row>
    <x:row r="35" ht="15" hidden="0" customHeight="1">
      <x:c r="A35" s="43" t="str">
        <x:v>2026-01-05</x:v>
      </x:c>
      <x:c r="B35" s="39" t="str">
        <x:v>Referral</x:v>
      </x:c>
      <x:c r="C35" s="39" t="n">
        <x:v>4159</x:v>
      </x:c>
      <x:c r="D35" s="39" t="n">
        <x:v>257</x:v>
      </x:c>
      <x:c r="E35" s="39" t="n">
        <x:v>9</x:v>
      </x:c>
      <x:c r="F35" s="44" t="n">
        <x:v>438.39</x:v>
      </x:c>
      <x:c r="G35" s="44" t="n">
        <x:v>4152.37</x:v>
      </x:c>
      <x:c r="H35" s="39" t="n">
        <x:v>6</x:v>
      </x:c>
      <x:c r="I35" s="41" t="n">
        <x:v>0.0617937004087521</x:v>
      </x:c>
      <x:c r="J35" s="41" t="n">
        <x:v>0.03501945525291829</x:v>
      </x:c>
      <x:c r="K35" s="44" t="n">
        <x:v>48.71</x:v>
      </x:c>
      <x:c r="L35" s="42" t="n">
        <x:v>9.47186295307831</x:v>
      </x:c>
      <x:c r="M35" s="44" t="n">
        <x:v>3713.98</x:v>
      </x:c>
      <x:c r="N35" s="41" t="n">
        <x:v>0.894424148137088</x:v>
      </x:c>
    </x:row>
    <x:row r="36" ht="15" hidden="0" customHeight="1">
      <x:c r="A36" s="43" t="str">
        <x:v>2026-01-05</x:v>
      </x:c>
      <x:c r="B36" s="39" t="str">
        <x:v>SEO</x:v>
      </x:c>
      <x:c r="C36" s="39" t="n">
        <x:v>1876</x:v>
      </x:c>
      <x:c r="D36" s="39" t="n">
        <x:v>68</x:v>
      </x:c>
      <x:c r="E36" s="39" t="n">
        <x:v>1</x:v>
      </x:c>
      <x:c r="F36" s="44" t="n">
        <x:v>1091.04</x:v>
      </x:c>
      <x:c r="G36" s="44" t="n">
        <x:v>233.88</x:v>
      </x:c>
      <x:c r="H36" s="39" t="n">
        <x:v>6</x:v>
      </x:c>
      <x:c r="I36" s="41" t="n">
        <x:v>0.03624733475479744</x:v>
      </x:c>
      <x:c r="J36" s="41" t="n">
        <x:v>0.014705882352941176</x:v>
      </x:c>
      <x:c r="K36" s="44" t="n">
        <x:v>1091.04</x:v>
      </x:c>
      <x:c r="L36" s="42" t="n">
        <x:v>0.2143642762868456</x:v>
      </x:c>
      <x:c r="M36" s="44" t="n">
        <x:v>-857.16</x:v>
      </x:c>
      <x:c r="N36" s="41" t="n">
        <x:v>-3.6649563878912264</x:v>
      </x:c>
    </x:row>
    <x:row r="37" ht="15" hidden="0" customHeight="1">
      <x:c r="A37" s="43" t="str">
        <x:v>2026-01-06</x:v>
      </x:c>
      <x:c r="B37" s="39" t="str">
        <x:v>Content</x:v>
      </x:c>
      <x:c r="C37" s="39" t="n">
        <x:v>1945</x:v>
      </x:c>
      <x:c r="D37" s="39" t="n">
        <x:v>126</x:v>
      </x:c>
      <x:c r="E37" s="39" t="n">
        <x:v>2</x:v>
      </x:c>
      <x:c r="F37" s="44" t="n">
        <x:v>958.81</x:v>
      </x:c>
      <x:c r="G37" s="44" t="n">
        <x:v>918.8000000000001</x:v>
      </x:c>
      <x:c r="H37" s="39" t="n">
        <x:v>6</x:v>
      </x:c>
      <x:c r="I37" s="41" t="n">
        <x:v>0.06478149100257069</x:v>
      </x:c>
      <x:c r="J37" s="41" t="n">
        <x:v>0.015873015873015872</x:v>
      </x:c>
      <x:c r="K37" s="44" t="n">
        <x:v>479.405</x:v>
      </x:c>
      <x:c r="L37" s="42" t="n">
        <x:v>0.9582711903296797</x:v>
      </x:c>
      <x:c r="M37" s="44" t="n">
        <x:v>-40.00999999999988</x:v>
      </x:c>
      <x:c r="N37" s="41" t="n">
        <x:v>-0.04354592947322581</x:v>
      </x:c>
    </x:row>
    <x:row r="38" ht="15" hidden="0" customHeight="1">
      <x:c r="A38" s="43" t="str">
        <x:v>2026-01-06</x:v>
      </x:c>
      <x:c r="B38" s="39" t="str">
        <x:v>LinkedIn Ads</x:v>
      </x:c>
      <x:c r="C38" s="39" t="n">
        <x:v>2020</x:v>
      </x:c>
      <x:c r="D38" s="39" t="n">
        <x:v>89</x:v>
      </x:c>
      <x:c r="E38" s="39" t="n">
        <x:v>1</x:v>
      </x:c>
      <x:c r="F38" s="44" t="n">
        <x:v>1257.43</x:v>
      </x:c>
      <x:c r="G38" s="44" t="n">
        <x:v>311.11</x:v>
      </x:c>
      <x:c r="H38" s="39" t="n">
        <x:v>6</x:v>
      </x:c>
      <x:c r="I38" s="41" t="n">
        <x:v>0.04405940594059406</x:v>
      </x:c>
      <x:c r="J38" s="41" t="n">
        <x:v>0.011235955056179775</x:v>
      </x:c>
      <x:c r="K38" s="44" t="n">
        <x:v>1257.43</x:v>
      </x:c>
      <x:c r="L38" s="42" t="n">
        <x:v>0.24741735126408626</x:v>
      </x:c>
      <x:c r="M38" s="44" t="n">
        <x:v>-946.32</x:v>
      </x:c>
      <x:c r="N38" s="41" t="n">
        <x:v>-3.041753720549002</x:v>
      </x:c>
    </x:row>
    <x:row r="39" ht="15" hidden="0" customHeight="1">
      <x:c r="A39" s="43" t="str">
        <x:v>2026-01-06</x:v>
      </x:c>
      <x:c r="B39" s="39" t="str">
        <x:v>Outbound Sales</x:v>
      </x:c>
      <x:c r="C39" s="39" t="n">
        <x:v>2023</x:v>
      </x:c>
      <x:c r="D39" s="39" t="n">
        <x:v>188</x:v>
      </x:c>
      <x:c r="E39" s="39" t="n">
        <x:v>1</x:v>
      </x:c>
      <x:c r="F39" s="44" t="n">
        <x:v>1430.08</x:v>
      </x:c>
      <x:c r="G39" s="44" t="n">
        <x:v>674.93</x:v>
      </x:c>
      <x:c r="H39" s="39" t="n">
        <x:v>6</x:v>
      </x:c>
      <x:c r="I39" s="41" t="n">
        <x:v>0.09293129016312407</x:v>
      </x:c>
      <x:c r="J39" s="41" t="n">
        <x:v>0.005319148936170213</x:v>
      </x:c>
      <x:c r="K39" s="44" t="n">
        <x:v>1430.08</x:v>
      </x:c>
      <x:c r="L39" s="42" t="n">
        <x:v>0.47195261803535465</x:v>
      </x:c>
      <x:c r="M39" s="44" t="n">
        <x:v>-755.15</x:v>
      </x:c>
      <x:c r="N39" s="41" t="n">
        <x:v>-1.1188567703317382</x:v>
      </x:c>
    </x:row>
    <x:row r="40" ht="15" hidden="0" customHeight="1">
      <x:c r="A40" s="43" t="str">
        <x:v>2026-01-06</x:v>
      </x:c>
      <x:c r="B40" s="39" t="str">
        <x:v>Paid Search</x:v>
      </x:c>
      <x:c r="C40" s="39" t="n">
        <x:v>2855</x:v>
      </x:c>
      <x:c r="D40" s="39" t="n">
        <x:v>109</x:v>
      </x:c>
      <x:c r="E40" s="39" t="n">
        <x:v>1</x:v>
      </x:c>
      <x:c r="F40" s="44" t="n">
        <x:v>1970.79</x:v>
      </x:c>
      <x:c r="G40" s="44" t="n">
        <x:v>300.48</x:v>
      </x:c>
      <x:c r="H40" s="39" t="n">
        <x:v>6</x:v>
      </x:c>
      <x:c r="I40" s="41" t="n">
        <x:v>0.03817863397548161</x:v>
      </x:c>
      <x:c r="J40" s="41" t="n">
        <x:v>0.009174311926605505</x:v>
      </x:c>
      <x:c r="K40" s="44" t="n">
        <x:v>1970.79</x:v>
      </x:c>
      <x:c r="L40" s="42" t="n">
        <x:v>0.15246677728220664</x:v>
      </x:c>
      <x:c r="M40" s="44" t="n">
        <x:v>-1670.31</x:v>
      </x:c>
      <x:c r="N40" s="41" t="n">
        <x:v>-5.55880591054313</x:v>
      </x:c>
    </x:row>
    <x:row r="41" ht="15" hidden="0" customHeight="1">
      <x:c r="A41" s="43" t="str">
        <x:v>2026-01-06</x:v>
      </x:c>
      <x:c r="B41" s="39" t="str">
        <x:v>Partnerships</x:v>
      </x:c>
      <x:c r="C41" s="39" t="n">
        <x:v>2615</x:v>
      </x:c>
      <x:c r="D41" s="39" t="n">
        <x:v>119</x:v>
      </x:c>
      <x:c r="E41" s="39" t="n">
        <x:v>2</x:v>
      </x:c>
      <x:c r="F41" s="44" t="n">
        <x:v>1053.33</x:v>
      </x:c>
      <x:c r="G41" s="44" t="n">
        <x:v>940.04</x:v>
      </x:c>
      <x:c r="H41" s="39" t="n">
        <x:v>6</x:v>
      </x:c>
      <x:c r="I41" s="41" t="n">
        <x:v>0.04550669216061185</x:v>
      </x:c>
      <x:c r="J41" s="41" t="n">
        <x:v>0.01680672268907563</x:v>
      </x:c>
      <x:c r="K41" s="44" t="n">
        <x:v>526.665</x:v>
      </x:c>
      <x:c r="L41" s="42" t="n">
        <x:v>0.89244586217045</x:v>
      </x:c>
      <x:c r="M41" s="44" t="n">
        <x:v>-113.28999999999996</x:v>
      </x:c>
      <x:c r="N41" s="41" t="n">
        <x:v>-0.12051614824901065</x:v>
      </x:c>
    </x:row>
    <x:row r="42" ht="15" hidden="0" customHeight="1">
      <x:c r="A42" s="43" t="str">
        <x:v>2026-01-06</x:v>
      </x:c>
      <x:c r="B42" s="39" t="str">
        <x:v>Referral</x:v>
      </x:c>
      <x:c r="C42" s="39" t="n">
        <x:v>2859</x:v>
      </x:c>
      <x:c r="D42" s="39" t="n">
        <x:v>243</x:v>
      </x:c>
      <x:c r="E42" s="39" t="n">
        <x:v>6</x:v>
      </x:c>
      <x:c r="F42" s="44" t="n">
        <x:v>550.51</x:v>
      </x:c>
      <x:c r="G42" s="44" t="n">
        <x:v>3203.44</x:v>
      </x:c>
      <x:c r="H42" s="39" t="n">
        <x:v>6</x:v>
      </x:c>
      <x:c r="I42" s="41" t="n">
        <x:v>0.08499475341028331</x:v>
      </x:c>
      <x:c r="J42" s="41" t="n">
        <x:v>0.024691358024691357</x:v>
      </x:c>
      <x:c r="K42" s="44" t="n">
        <x:v>91.75166666666667</x:v>
      </x:c>
      <x:c r="L42" s="42" t="n">
        <x:v>5.819040526057655</x:v>
      </x:c>
      <x:c r="M42" s="44" t="n">
        <x:v>2652.9300000000003</x:v>
      </x:c>
      <x:c r="N42" s="41" t="n">
        <x:v>0.8281503633593887</x:v>
      </x:c>
    </x:row>
    <x:row r="43" ht="15" hidden="0" customHeight="1">
      <x:c r="A43" s="43" t="str">
        <x:v>2026-01-06</x:v>
      </x:c>
      <x:c r="B43" s="39" t="str">
        <x:v>SEO</x:v>
      </x:c>
      <x:c r="C43" s="39" t="n">
        <x:v>1903</x:v>
      </x:c>
      <x:c r="D43" s="39" t="n">
        <x:v>144</x:v>
      </x:c>
      <x:c r="E43" s="39" t="n">
        <x:v>2</x:v>
      </x:c>
      <x:c r="F43" s="44" t="n">
        <x:v>1196.27</x:v>
      </x:c>
      <x:c r="G43" s="44" t="n">
        <x:v>704.52</x:v>
      </x:c>
      <x:c r="H43" s="39" t="n">
        <x:v>6</x:v>
      </x:c>
      <x:c r="I43" s="41" t="n">
        <x:v>0.07566999474513926</x:v>
      </x:c>
      <x:c r="J43" s="41" t="n">
        <x:v>0.013888888888888888</x:v>
      </x:c>
      <x:c r="K43" s="44" t="n">
        <x:v>598.135</x:v>
      </x:c>
      <x:c r="L43" s="42" t="n">
        <x:v>0.5889305925919733</x:v>
      </x:c>
      <x:c r="M43" s="44" t="n">
        <x:v>-491.75</x:v>
      </x:c>
      <x:c r="N43" s="41" t="n">
        <x:v>-0.6979929597456425</x:v>
      </x:c>
    </x:row>
    <x:row r="44" ht="15" hidden="0" customHeight="1">
      <x:c r="A44" s="43" t="str">
        <x:v>2026-01-07</x:v>
      </x:c>
      <x:c r="B44" s="39" t="str">
        <x:v>Content</x:v>
      </x:c>
      <x:c r="C44" s="39" t="n">
        <x:v>2433</x:v>
      </x:c>
      <x:c r="D44" s="39" t="n">
        <x:v>121</x:v>
      </x:c>
      <x:c r="E44" s="39" t="n">
        <x:v>2</x:v>
      </x:c>
      <x:c r="F44" s="44" t="n">
        <x:v>1069.58</x:v>
      </x:c>
      <x:c r="G44" s="44" t="n">
        <x:v>652.38</x:v>
      </x:c>
      <x:c r="H44" s="39" t="n">
        <x:v>6</x:v>
      </x:c>
      <x:c r="I44" s="41" t="n">
        <x:v>0.049732840115084255</x:v>
      </x:c>
      <x:c r="J44" s="41" t="n">
        <x:v>0.01652892561983471</x:v>
      </x:c>
      <x:c r="K44" s="44" t="n">
        <x:v>534.79</x:v>
      </x:c>
      <x:c r="L44" s="42" t="n">
        <x:v>0.609940350417921</x:v>
      </x:c>
      <x:c r="M44" s="44" t="n">
        <x:v>-417.19999999999993</x:v>
      </x:c>
      <x:c r="N44" s="41" t="n">
        <x:v>-0.6395045832183696</x:v>
      </x:c>
    </x:row>
    <x:row r="45" ht="15" hidden="0" customHeight="1">
      <x:c r="A45" s="43" t="str">
        <x:v>2026-01-07</x:v>
      </x:c>
      <x:c r="B45" s="39" t="str">
        <x:v>LinkedIn Ads</x:v>
      </x:c>
      <x:c r="C45" s="39" t="n">
        <x:v>2059</x:v>
      </x:c>
      <x:c r="D45" s="39" t="n">
        <x:v>95</x:v>
      </x:c>
      <x:c r="E45" s="39" t="n">
        <x:v>1</x:v>
      </x:c>
      <x:c r="F45" s="44" t="n">
        <x:v>1375.87</x:v>
      </x:c>
      <x:c r="G45" s="44" t="n">
        <x:v>256.1</x:v>
      </x:c>
      <x:c r="H45" s="39" t="n">
        <x:v>6</x:v>
      </x:c>
      <x:c r="I45" s="41" t="n">
        <x:v>0.04613890237979602</x:v>
      </x:c>
      <x:c r="J45" s="41" t="n">
        <x:v>0.010526315789473684</x:v>
      </x:c>
      <x:c r="K45" s="44" t="n">
        <x:v>1375.87</x:v>
      </x:c>
      <x:c r="L45" s="42" t="n">
        <x:v>0.18613677164266976</x:v>
      </x:c>
      <x:c r="M45" s="44" t="n">
        <x:v>-1119.77</x:v>
      </x:c>
      <x:c r="N45" s="41" t="n">
        <x:v>-4.372393596251464</x:v>
      </x:c>
    </x:row>
    <x:row r="46" ht="15" hidden="0" customHeight="1">
      <x:c r="A46" s="43" t="str">
        <x:v>2026-01-07</x:v>
      </x:c>
      <x:c r="B46" s="39" t="str">
        <x:v>Outbound Sales</x:v>
      </x:c>
      <x:c r="C46" s="39" t="n">
        <x:v>2364</x:v>
      </x:c>
      <x:c r="D46" s="39" t="n">
        <x:v>128</x:v>
      </x:c>
      <x:c r="E46" s="39" t="n">
        <x:v>1</x:v>
      </x:c>
      <x:c r="F46" s="44" t="n">
        <x:v>1294.51</x:v>
      </x:c>
      <x:c r="G46" s="44" t="n">
        <x:v>259.81</x:v>
      </x:c>
      <x:c r="H46" s="39" t="n">
        <x:v>6</x:v>
      </x:c>
      <x:c r="I46" s="41" t="n">
        <x:v>0.05414551607445008</x:v>
      </x:c>
      <x:c r="J46" s="41" t="n">
        <x:v>0.0078125</x:v>
      </x:c>
      <x:c r="K46" s="44" t="n">
        <x:v>1294.51</x:v>
      </x:c>
      <x:c r="L46" s="42" t="n">
        <x:v>0.20070142370472224</x:v>
      </x:c>
      <x:c r="M46" s="44" t="n">
        <x:v>-1034.7</x:v>
      </x:c>
      <x:c r="N46" s="41" t="n">
        <x:v>-3.982525691851738</x:v>
      </x:c>
    </x:row>
    <x:row r="47" ht="15" hidden="0" customHeight="1">
      <x:c r="A47" s="43" t="str">
        <x:v>2026-01-07</x:v>
      </x:c>
      <x:c r="B47" s="39" t="str">
        <x:v>Paid Search</x:v>
      </x:c>
      <x:c r="C47" s="39" t="n">
        <x:v>2533</x:v>
      </x:c>
      <x:c r="D47" s="39" t="n">
        <x:v>163</x:v>
      </x:c>
      <x:c r="E47" s="39" t="n">
        <x:v>3</x:v>
      </x:c>
      <x:c r="F47" s="44" t="n">
        <x:v>2352.8999999999996</x:v>
      </x:c>
      <x:c r="G47" s="44" t="n">
        <x:v>1318.21</x:v>
      </x:c>
      <x:c r="H47" s="39" t="n">
        <x:v>6</x:v>
      </x:c>
      <x:c r="I47" s="41" t="n">
        <x:v>0.06435057244374259</x:v>
      </x:c>
      <x:c r="J47" s="41" t="n">
        <x:v>0.018404907975460124</x:v>
      </x:c>
      <x:c r="K47" s="44" t="n">
        <x:v>784.2999999999998</x:v>
      </x:c>
      <x:c r="L47" s="42" t="n">
        <x:v>0.5602490543584514</x:v>
      </x:c>
      <x:c r="M47" s="44" t="n">
        <x:v>-1034.6899999999996</x:v>
      </x:c>
      <x:c r="N47" s="41" t="n">
        <x:v>-0.7849204603211928</x:v>
      </x:c>
    </x:row>
    <x:row r="48" ht="15" hidden="0" customHeight="1">
      <x:c r="A48" s="43" t="str">
        <x:v>2026-01-07</x:v>
      </x:c>
      <x:c r="B48" s="39" t="str">
        <x:v>Partnerships</x:v>
      </x:c>
      <x:c r="C48" s="39" t="n">
        <x:v>2685</x:v>
      </x:c>
      <x:c r="D48" s="39" t="n">
        <x:v>152</x:v>
      </x:c>
      <x:c r="E48" s="39" t="n">
        <x:v>2</x:v>
      </x:c>
      <x:c r="F48" s="44" t="n">
        <x:v>995.6800000000001</x:v>
      </x:c>
      <x:c r="G48" s="44" t="n">
        <x:v>665.5799999999999</x:v>
      </x:c>
      <x:c r="H48" s="39" t="n">
        <x:v>6</x:v>
      </x:c>
      <x:c r="I48" s="41" t="n">
        <x:v>0.05661080074487896</x:v>
      </x:c>
      <x:c r="J48" s="41" t="n">
        <x:v>0.013157894736842105</x:v>
      </x:c>
      <x:c r="K48" s="44" t="n">
        <x:v>497.84000000000003</x:v>
      </x:c>
      <x:c r="L48" s="42" t="n">
        <x:v>0.6684677808131125</x:v>
      </x:c>
      <x:c r="M48" s="44" t="n">
        <x:v>-330.10000000000014</x:v>
      </x:c>
      <x:c r="N48" s="41" t="n">
        <x:v>-0.4959584122119057</x:v>
      </x:c>
    </x:row>
    <x:row r="49" ht="15" hidden="0" customHeight="1">
      <x:c r="A49" s="43" t="str">
        <x:v>2026-01-07</x:v>
      </x:c>
      <x:c r="B49" s="39" t="str">
        <x:v>Referral</x:v>
      </x:c>
      <x:c r="C49" s="39" t="n">
        <x:v>2480</x:v>
      </x:c>
      <x:c r="D49" s="39" t="n">
        <x:v>138</x:v>
      </x:c>
      <x:c r="E49" s="39" t="n">
        <x:v>5</x:v>
      </x:c>
      <x:c r="F49" s="44" t="n">
        <x:v>557.85</x:v>
      </x:c>
      <x:c r="G49" s="44" t="n">
        <x:v>3048.9300000000003</x:v>
      </x:c>
      <x:c r="H49" s="39" t="n">
        <x:v>6</x:v>
      </x:c>
      <x:c r="I49" s="41" t="n">
        <x:v>0.055645161290322584</x:v>
      </x:c>
      <x:c r="J49" s="41" t="n">
        <x:v>0.036231884057971016</x:v>
      </x:c>
      <x:c r="K49" s="44" t="n">
        <x:v>111.57000000000001</x:v>
      </x:c>
      <x:c r="L49" s="42" t="n">
        <x:v>5.465501478892175</x:v>
      </x:c>
      <x:c r="M49" s="44" t="n">
        <x:v>2491.0800000000004</x:v>
      </x:c>
      <x:c r="N49" s="41" t="n">
        <x:v>0.8170341726441736</x:v>
      </x:c>
    </x:row>
    <x:row r="50" ht="15" hidden="0" customHeight="1">
      <x:c r="A50" s="43" t="str">
        <x:v>2026-01-07</x:v>
      </x:c>
      <x:c r="B50" s="39" t="str">
        <x:v>SEO</x:v>
      </x:c>
      <x:c r="C50" s="39" t="n">
        <x:v>2452</x:v>
      </x:c>
      <x:c r="D50" s="39" t="n">
        <x:v>160</x:v>
      </x:c>
      <x:c r="E50" s="39" t="n">
        <x:v>3</x:v>
      </x:c>
      <x:c r="F50" s="44" t="n">
        <x:v>1345.87</x:v>
      </x:c>
      <x:c r="G50" s="44" t="n">
        <x:v>1313.38</x:v>
      </x:c>
      <x:c r="H50" s="39" t="n">
        <x:v>6</x:v>
      </x:c>
      <x:c r="I50" s="41" t="n">
        <x:v>0.06525285481239804</x:v>
      </x:c>
      <x:c r="J50" s="41" t="n">
        <x:v>0.01875</x:v>
      </x:c>
      <x:c r="K50" s="44" t="n">
        <x:v>448.6233333333333</x:v>
      </x:c>
      <x:c r="L50" s="42" t="n">
        <x:v>0.9758594812277562</x:v>
      </x:c>
      <x:c r="M50" s="44" t="n">
        <x:v>-32.48999999999978</x:v>
      </x:c>
      <x:c r="N50" s="41" t="n">
        <x:v>-0.024737699675645874</x:v>
      </x:c>
    </x:row>
    <x:row r="51" ht="15" hidden="0" customHeight="1">
      <x:c r="A51" s="43" t="str">
        <x:v>2026-01-08</x:v>
      </x:c>
      <x:c r="B51" s="39" t="str">
        <x:v>Content</x:v>
      </x:c>
      <x:c r="C51" s="39" t="n">
        <x:v>1665</x:v>
      </x:c>
      <x:c r="D51" s="39" t="n">
        <x:v>144</x:v>
      </x:c>
      <x:c r="E51" s="39" t="n">
        <x:v>1</x:v>
      </x:c>
      <x:c r="F51" s="44" t="n">
        <x:v>1384.41</x:v>
      </x:c>
      <x:c r="G51" s="44" t="n">
        <x:v>286.63</x:v>
      </x:c>
      <x:c r="H51" s="39" t="n">
        <x:v>6</x:v>
      </x:c>
      <x:c r="I51" s="41" t="n">
        <x:v>0.08648648648648649</x:v>
      </x:c>
      <x:c r="J51" s="41" t="n">
        <x:v>0.006944444444444444</x:v>
      </x:c>
      <x:c r="K51" s="44" t="n">
        <x:v>1384.41</x:v>
      </x:c>
      <x:c r="L51" s="42" t="n">
        <x:v>0.20704126667677927</x:v>
      </x:c>
      <x:c r="M51" s="44" t="n">
        <x:v>-1097.7800000000002</x:v>
      </x:c>
      <x:c r="N51" s="41" t="n">
        <x:v>-3.8299549942434505</x:v>
      </x:c>
    </x:row>
    <x:row r="52" ht="15" hidden="0" customHeight="1">
      <x:c r="A52" s="43" t="str">
        <x:v>2026-01-08</x:v>
      </x:c>
      <x:c r="B52" s="39" t="str">
        <x:v>LinkedIn Ads</x:v>
      </x:c>
      <x:c r="C52" s="39" t="n">
        <x:v>2184</x:v>
      </x:c>
      <x:c r="D52" s="39" t="n">
        <x:v>77</x:v>
      </x:c>
      <x:c r="E52" s="39" t="n">
        <x:v>1</x:v>
      </x:c>
      <x:c r="F52" s="44" t="n">
        <x:v>2109.41</x:v>
      </x:c>
      <x:c r="G52" s="44" t="n">
        <x:v>711.1</x:v>
      </x:c>
      <x:c r="H52" s="39" t="n">
        <x:v>6</x:v>
      </x:c>
      <x:c r="I52" s="41" t="n">
        <x:v>0.035256410256410256</x:v>
      </x:c>
      <x:c r="J52" s="41" t="n">
        <x:v>0.012987012987012988</x:v>
      </x:c>
      <x:c r="K52" s="44" t="n">
        <x:v>2109.41</x:v>
      </x:c>
      <x:c r="L52" s="42" t="n">
        <x:v>0.3371084805703965</x:v>
      </x:c>
      <x:c r="M52" s="44" t="n">
        <x:v>-1398.31</x:v>
      </x:c>
      <x:c r="N52" s="41" t="n">
        <x:v>-1.96640416256504</x:v>
      </x:c>
    </x:row>
    <x:row r="53" ht="15" hidden="0" customHeight="1">
      <x:c r="A53" s="43" t="str">
        <x:v>2026-01-08</x:v>
      </x:c>
      <x:c r="B53" s="39" t="str">
        <x:v>Outbound Sales</x:v>
      </x:c>
      <x:c r="C53" s="39" t="n">
        <x:v>4045</x:v>
      </x:c>
      <x:c r="D53" s="39" t="n">
        <x:v>337</x:v>
      </x:c>
      <x:c r="E53" s="39" t="n">
        <x:v>3</x:v>
      </x:c>
      <x:c r="F53" s="44" t="n">
        <x:v>2072.63</x:v>
      </x:c>
      <x:c r="G53" s="44" t="n">
        <x:v>2019.6599999999999</x:v>
      </x:c>
      <x:c r="H53" s="39" t="n">
        <x:v>6</x:v>
      </x:c>
      <x:c r="I53" s="41" t="n">
        <x:v>0.08331273176761433</x:v>
      </x:c>
      <x:c r="J53" s="41" t="n">
        <x:v>0.008902077151335312</x:v>
      </x:c>
      <x:c r="K53" s="44" t="n">
        <x:v>690.8766666666667</x:v>
      </x:c>
      <x:c r="L53" s="42" t="n">
        <x:v>0.9744430988647274</x:v>
      </x:c>
      <x:c r="M53" s="44" t="n">
        <x:v>-52.970000000000255</x:v>
      </x:c>
      <x:c r="N53" s="41" t="n">
        <x:v>-0.02622718675420628</x:v>
      </x:c>
    </x:row>
    <x:row r="54" ht="15" hidden="0" customHeight="1">
      <x:c r="A54" s="43" t="str">
        <x:v>2026-01-08</x:v>
      </x:c>
      <x:c r="B54" s="39" t="str">
        <x:v>Paid Search</x:v>
      </x:c>
      <x:c r="C54" s="39" t="n">
        <x:v>3687</x:v>
      </x:c>
      <x:c r="D54" s="39" t="n">
        <x:v>335</x:v>
      </x:c>
      <x:c r="E54" s="39" t="n">
        <x:v>5</x:v>
      </x:c>
      <x:c r="F54" s="44" t="n">
        <x:v>3776.92</x:v>
      </x:c>
      <x:c r="G54" s="44" t="n">
        <x:v>2623.21</x:v>
      </x:c>
      <x:c r="H54" s="39" t="n">
        <x:v>6</x:v>
      </x:c>
      <x:c r="I54" s="41" t="n">
        <x:v>0.0908597775969623</x:v>
      </x:c>
      <x:c r="J54" s="41" t="n">
        <x:v>0.014925373134328358</x:v>
      </x:c>
      <x:c r="K54" s="44" t="n">
        <x:v>755.384</x:v>
      </x:c>
      <x:c r="L54" s="42" t="n">
        <x:v>0.6945368183599335</x:v>
      </x:c>
      <x:c r="M54" s="44" t="n">
        <x:v>-1153.71</x:v>
      </x:c>
      <x:c r="N54" s="41" t="n">
        <x:v>-0.4398084789246763</x:v>
      </x:c>
    </x:row>
    <x:row r="55" ht="15" hidden="0" customHeight="1">
      <x:c r="A55" s="43" t="str">
        <x:v>2026-01-08</x:v>
      </x:c>
      <x:c r="B55" s="39" t="str">
        <x:v>Partnerships</x:v>
      </x:c>
      <x:c r="C55" s="39" t="n">
        <x:v>2453</x:v>
      </x:c>
      <x:c r="D55" s="39" t="n">
        <x:v>115</x:v>
      </x:c>
      <x:c r="E55" s="39" t="n">
        <x:v>1</x:v>
      </x:c>
      <x:c r="F55" s="44" t="n">
        <x:v>1544.3200000000002</x:v>
      </x:c>
      <x:c r="G55" s="44" t="n">
        <x:v>691.88</x:v>
      </x:c>
      <x:c r="H55" s="39" t="n">
        <x:v>6</x:v>
      </x:c>
      <x:c r="I55" s="41" t="n">
        <x:v>0.04688136975132491</x:v>
      </x:c>
      <x:c r="J55" s="41" t="n">
        <x:v>0.008695652173913044</x:v>
      </x:c>
      <x:c r="K55" s="44" t="n">
        <x:v>1544.3200000000002</x:v>
      </x:c>
      <x:c r="L55" s="42" t="n">
        <x:v>0.44801595524243676</x:v>
      </x:c>
      <x:c r="M55" s="44" t="n">
        <x:v>-852.4400000000002</x:v>
      </x:c>
      <x:c r="N55" s="41" t="n">
        <x:v>-1.2320633635890619</x:v>
      </x:c>
    </x:row>
    <x:row r="56" ht="15" hidden="0" customHeight="1">
      <x:c r="A56" s="43" t="str">
        <x:v>2026-01-08</x:v>
      </x:c>
      <x:c r="B56" s="39" t="str">
        <x:v>Referral</x:v>
      </x:c>
      <x:c r="C56" s="39" t="n">
        <x:v>2819</x:v>
      </x:c>
      <x:c r="D56" s="39" t="n">
        <x:v>281</x:v>
      </x:c>
      <x:c r="E56" s="39" t="n">
        <x:v>7</x:v>
      </x:c>
      <x:c r="F56" s="44" t="n">
        <x:v>646.98</x:v>
      </x:c>
      <x:c r="G56" s="44" t="n">
        <x:v>3611.23</x:v>
      </x:c>
      <x:c r="H56" s="39" t="n">
        <x:v>6</x:v>
      </x:c>
      <x:c r="I56" s="41" t="n">
        <x:v>0.09968073785030153</x:v>
      </x:c>
      <x:c r="J56" s="41" t="n">
        <x:v>0.02491103202846975</x:v>
      </x:c>
      <x:c r="K56" s="44" t="n">
        <x:v>92.42571428571429</x:v>
      </x:c>
      <x:c r="L56" s="42" t="n">
        <x:v>5.581671767288015</x:v>
      </x:c>
      <x:c r="M56" s="44" t="n">
        <x:v>2964.25</x:v>
      </x:c>
      <x:c r="N56" s="41" t="n">
        <x:v>0.8208422061181371</x:v>
      </x:c>
    </x:row>
    <x:row r="57" ht="15" hidden="0" customHeight="1">
      <x:c r="A57" s="43" t="str">
        <x:v>2026-01-08</x:v>
      </x:c>
      <x:c r="B57" s="39" t="str">
        <x:v>SEO</x:v>
      </x:c>
      <x:c r="C57" s="39" t="n">
        <x:v>1910</x:v>
      </x:c>
      <x:c r="D57" s="39" t="n">
        <x:v>159</x:v>
      </x:c>
      <x:c r="E57" s="39" t="n">
        <x:v>2</x:v>
      </x:c>
      <x:c r="F57" s="44" t="n">
        <x:v>1708.55</x:v>
      </x:c>
      <x:c r="G57" s="44" t="n">
        <x:v>1365.08</x:v>
      </x:c>
      <x:c r="H57" s="39" t="n">
        <x:v>6</x:v>
      </x:c>
      <x:c r="I57" s="41" t="n">
        <x:v>0.08324607329842931</x:v>
      </x:c>
      <x:c r="J57" s="41" t="n">
        <x:v>0.012578616352201259</x:v>
      </x:c>
      <x:c r="K57" s="44" t="n">
        <x:v>854.275</x:v>
      </x:c>
      <x:c r="L57" s="42" t="n">
        <x:v>0.7989698867460712</x:v>
      </x:c>
      <x:c r="M57" s="44" t="n">
        <x:v>-343.47</x:v>
      </x:c>
      <x:c r="N57" s="41" t="n">
        <x:v>-0.2516116271573828</x:v>
      </x:c>
    </x:row>
    <x:row r="58" ht="15" hidden="0" customHeight="1">
      <x:c r="A58" s="43" t="str">
        <x:v>2026-01-09</x:v>
      </x:c>
      <x:c r="B58" s="39" t="str">
        <x:v>Content</x:v>
      </x:c>
      <x:c r="C58" s="39" t="n">
        <x:v>2013</x:v>
      </x:c>
      <x:c r="D58" s="39" t="n">
        <x:v>154</x:v>
      </x:c>
      <x:c r="E58" s="39" t="n">
        <x:v>2</x:v>
      </x:c>
      <x:c r="F58" s="44" t="n">
        <x:v>942.24</x:v>
      </x:c>
      <x:c r="G58" s="44" t="n">
        <x:v>787.44</x:v>
      </x:c>
      <x:c r="H58" s="39" t="n">
        <x:v>6</x:v>
      </x:c>
      <x:c r="I58" s="41" t="n">
        <x:v>0.07650273224043716</x:v>
      </x:c>
      <x:c r="J58" s="41" t="n">
        <x:v>0.012987012987012988</x:v>
      </x:c>
      <x:c r="K58" s="44" t="n">
        <x:v>471.12</x:v>
      </x:c>
      <x:c r="L58" s="42" t="n">
        <x:v>0.8357106469689252</x:v>
      </x:c>
      <x:c r="M58" s="44" t="n">
        <x:v>-154.79999999999995</x:v>
      </x:c>
      <x:c r="N58" s="41" t="n">
        <x:v>-0.19658640658335866</x:v>
      </x:c>
    </x:row>
    <x:row r="59" ht="15" hidden="0" customHeight="1">
      <x:c r="A59" s="43" t="str">
        <x:v>2026-01-09</x:v>
      </x:c>
      <x:c r="B59" s="39" t="str">
        <x:v>LinkedIn Ads</x:v>
      </x:c>
      <x:c r="C59" s="39" t="n">
        <x:v>2009</x:v>
      </x:c>
      <x:c r="D59" s="39" t="n">
        <x:v>78</x:v>
      </x:c>
      <x:c r="E59" s="39" t="n">
        <x:v>0</x:v>
      </x:c>
      <x:c r="F59" s="44" t="n">
        <x:v>1117.78</x:v>
      </x:c>
      <x:c r="G59" s="44" t="n">
        <x:v>0</x:v>
      </x:c>
      <x:c r="H59" s="39" t="n">
        <x:v>6</x:v>
      </x:c>
      <x:c r="I59" s="41" t="n">
        <x:v>0.03882528621204579</x:v>
      </x:c>
      <x:c r="J59" s="41" t="n">
        <x:v>0</x:v>
      </x:c>
      <x:c r="K59" s="44"/>
      <x:c r="L59" s="42" t="n">
        <x:v>0</x:v>
      </x:c>
      <x:c r="M59" s="44" t="n">
        <x:v>-1117.78</x:v>
      </x:c>
      <x:c r="N59" s="41"/>
    </x:row>
    <x:row r="60" ht="15" hidden="0" customHeight="1">
      <x:c r="A60" s="43" t="str">
        <x:v>2026-01-09</x:v>
      </x:c>
      <x:c r="B60" s="39" t="str">
        <x:v>Outbound Sales</x:v>
      </x:c>
      <x:c r="C60" s="39" t="n">
        <x:v>2226</x:v>
      </x:c>
      <x:c r="D60" s="39" t="n">
        <x:v>45</x:v>
      </x:c>
      <x:c r="E60" s="39" t="n">
        <x:v>0</x:v>
      </x:c>
      <x:c r="F60" s="44" t="n">
        <x:v>1164.31</x:v>
      </x:c>
      <x:c r="G60" s="44" t="n">
        <x:v>0</x:v>
      </x:c>
      <x:c r="H60" s="39" t="n">
        <x:v>6</x:v>
      </x:c>
      <x:c r="I60" s="41" t="n">
        <x:v>0.02021563342318059</x:v>
      </x:c>
      <x:c r="J60" s="41" t="n">
        <x:v>0</x:v>
      </x:c>
      <x:c r="K60" s="44"/>
      <x:c r="L60" s="42" t="n">
        <x:v>0</x:v>
      </x:c>
      <x:c r="M60" s="44" t="n">
        <x:v>-1164.31</x:v>
      </x:c>
      <x:c r="N60" s="41"/>
    </x:row>
    <x:row r="61" ht="15" hidden="0" customHeight="1">
      <x:c r="A61" s="43" t="str">
        <x:v>2026-01-09</x:v>
      </x:c>
      <x:c r="B61" s="39" t="str">
        <x:v>Paid Search</x:v>
      </x:c>
      <x:c r="C61" s="39" t="n">
        <x:v>2854</x:v>
      </x:c>
      <x:c r="D61" s="39" t="n">
        <x:v>78</x:v>
      </x:c>
      <x:c r="E61" s="39" t="n">
        <x:v>2</x:v>
      </x:c>
      <x:c r="F61" s="44" t="n">
        <x:v>1741.22</x:v>
      </x:c>
      <x:c r="G61" s="44" t="n">
        <x:v>560.46</x:v>
      </x:c>
      <x:c r="H61" s="39" t="n">
        <x:v>6</x:v>
      </x:c>
      <x:c r="I61" s="41" t="n">
        <x:v>0.027330063069376315</x:v>
      </x:c>
      <x:c r="J61" s="41" t="n">
        <x:v>0.02564102564102564</x:v>
      </x:c>
      <x:c r="K61" s="44" t="n">
        <x:v>870.61</x:v>
      </x:c>
      <x:c r="L61" s="42" t="n">
        <x:v>0.3218777638667142</x:v>
      </x:c>
      <x:c r="M61" s="44" t="n">
        <x:v>-1180.76</x:v>
      </x:c>
      <x:c r="N61" s="41" t="n">
        <x:v>-2.106769439389073</x:v>
      </x:c>
    </x:row>
    <x:row r="62" ht="15" hidden="0" customHeight="1">
      <x:c r="A62" s="43" t="str">
        <x:v>2026-01-09</x:v>
      </x:c>
      <x:c r="B62" s="39" t="str">
        <x:v>Partnerships</x:v>
      </x:c>
      <x:c r="C62" s="39" t="n">
        <x:v>2143</x:v>
      </x:c>
      <x:c r="D62" s="39" t="n">
        <x:v>54</x:v>
      </x:c>
      <x:c r="E62" s="39" t="n">
        <x:v>0</x:v>
      </x:c>
      <x:c r="F62" s="44" t="n">
        <x:v>889.8899999999999</x:v>
      </x:c>
      <x:c r="G62" s="44" t="n">
        <x:v>0</x:v>
      </x:c>
      <x:c r="H62" s="39" t="n">
        <x:v>6</x:v>
      </x:c>
      <x:c r="I62" s="41" t="n">
        <x:v>0.025198320111992533</x:v>
      </x:c>
      <x:c r="J62" s="41" t="n">
        <x:v>0</x:v>
      </x:c>
      <x:c r="K62" s="44"/>
      <x:c r="L62" s="42" t="n">
        <x:v>0</x:v>
      </x:c>
      <x:c r="M62" s="44" t="n">
        <x:v>-889.8899999999999</x:v>
      </x:c>
      <x:c r="N62" s="41"/>
    </x:row>
    <x:row r="63" ht="15" hidden="0" customHeight="1">
      <x:c r="A63" s="43" t="str">
        <x:v>2026-01-09</x:v>
      </x:c>
      <x:c r="B63" s="39" t="str">
        <x:v>Referral</x:v>
      </x:c>
      <x:c r="C63" s="39" t="n">
        <x:v>3496</x:v>
      </x:c>
      <x:c r="D63" s="39" t="n">
        <x:v>303</x:v>
      </x:c>
      <x:c r="E63" s="39" t="n">
        <x:v>9</x:v>
      </x:c>
      <x:c r="F63" s="44" t="n">
        <x:v>588.79</x:v>
      </x:c>
      <x:c r="G63" s="44" t="n">
        <x:v>3990.96</x:v>
      </x:c>
      <x:c r="H63" s="39" t="n">
        <x:v>6</x:v>
      </x:c>
      <x:c r="I63" s="41" t="n">
        <x:v>0.08667048054919908</x:v>
      </x:c>
      <x:c r="J63" s="41" t="n">
        <x:v>0.0297029702970297</x:v>
      </x:c>
      <x:c r="K63" s="44" t="n">
        <x:v>65.4211111111111</x:v>
      </x:c>
      <x:c r="L63" s="42" t="n">
        <x:v>6.778240119567249</x:v>
      </x:c>
      <x:c r="M63" s="44" t="n">
        <x:v>3402.17</x:v>
      </x:c>
      <x:c r="N63" s="41" t="n">
        <x:v>0.8524690801210736</x:v>
      </x:c>
    </x:row>
    <x:row r="64" ht="15" hidden="0" customHeight="1">
      <x:c r="A64" s="43" t="str">
        <x:v>2026-01-09</x:v>
      </x:c>
      <x:c r="B64" s="39" t="str">
        <x:v>SEO</x:v>
      </x:c>
      <x:c r="C64" s="39" t="n">
        <x:v>1977</x:v>
      </x:c>
      <x:c r="D64" s="39" t="n">
        <x:v>143</x:v>
      </x:c>
      <x:c r="E64" s="39" t="n">
        <x:v>2</x:v>
      </x:c>
      <x:c r="F64" s="44" t="n">
        <x:v>1124.56</x:v>
      </x:c>
      <x:c r="G64" s="44" t="n">
        <x:v>737.9300000000001</x:v>
      </x:c>
      <x:c r="H64" s="39" t="n">
        <x:v>6</x:v>
      </x:c>
      <x:c r="I64" s="41" t="n">
        <x:v>0.07233181588265047</x:v>
      </x:c>
      <x:c r="J64" s="41" t="n">
        <x:v>0.013986013986013986</x:v>
      </x:c>
      <x:c r="K64" s="44" t="n">
        <x:v>562.28</x:v>
      </x:c>
      <x:c r="L64" s="42" t="n">
        <x:v>0.6561944227075479</x:v>
      </x:c>
      <x:c r="M64" s="44" t="n">
        <x:v>-386.6299999999999</x:v>
      </x:c>
      <x:c r="N64" s="41" t="n">
        <x:v>-0.523938584960633</x:v>
      </x:c>
    </x:row>
    <x:row r="65" ht="15" hidden="0" customHeight="1">
      <x:c r="A65" s="43" t="str">
        <x:v>2026-01-10</x:v>
      </x:c>
      <x:c r="B65" s="39" t="str">
        <x:v>Content</x:v>
      </x:c>
      <x:c r="C65" s="39" t="n">
        <x:v>2266</x:v>
      </x:c>
      <x:c r="D65" s="39" t="n">
        <x:v>91</x:v>
      </x:c>
      <x:c r="E65" s="39" t="n">
        <x:v>1</x:v>
      </x:c>
      <x:c r="F65" s="44" t="n">
        <x:v>1135.8899999999999</x:v>
      </x:c>
      <x:c r="G65" s="44" t="n">
        <x:v>369.82</x:v>
      </x:c>
      <x:c r="H65" s="39" t="n">
        <x:v>6</x:v>
      </x:c>
      <x:c r="I65" s="41" t="n">
        <x:v>0.040158870255957636</x:v>
      </x:c>
      <x:c r="J65" s="41" t="n">
        <x:v>0.01098901098901099</x:v>
      </x:c>
      <x:c r="K65" s="44" t="n">
        <x:v>1135.8899999999999</x:v>
      </x:c>
      <x:c r="L65" s="42" t="n">
        <x:v>0.325577300618898</x:v>
      </x:c>
      <x:c r="M65" s="44" t="n">
        <x:v>-766.0699999999999</x:v>
      </x:c>
      <x:c r="N65" s="41" t="n">
        <x:v>-2.0714672002595855</x:v>
      </x:c>
    </x:row>
    <x:row r="66" ht="15" hidden="0" customHeight="1">
      <x:c r="A66" s="43" t="str">
        <x:v>2026-01-10</x:v>
      </x:c>
      <x:c r="B66" s="39" t="str">
        <x:v>LinkedIn Ads</x:v>
      </x:c>
      <x:c r="C66" s="39" t="n">
        <x:v>2285</x:v>
      </x:c>
      <x:c r="D66" s="39" t="n">
        <x:v>129</x:v>
      </x:c>
      <x:c r="E66" s="39" t="n">
        <x:v>2</x:v>
      </x:c>
      <x:c r="F66" s="44" t="n">
        <x:v>1820.08</x:v>
      </x:c>
      <x:c r="G66" s="44" t="n">
        <x:v>957.54</x:v>
      </x:c>
      <x:c r="H66" s="39" t="n">
        <x:v>6</x:v>
      </x:c>
      <x:c r="I66" s="41" t="n">
        <x:v>0.05645514223194748</x:v>
      </x:c>
      <x:c r="J66" s="41" t="n">
        <x:v>0.015503875968992248</x:v>
      </x:c>
      <x:c r="K66" s="44" t="n">
        <x:v>910.04</x:v>
      </x:c>
      <x:c r="L66" s="42" t="n">
        <x:v>0.5260977539448816</x:v>
      </x:c>
      <x:c r="M66" s="44" t="n">
        <x:v>-862.54</x:v>
      </x:c>
      <x:c r="N66" s="41" t="n">
        <x:v>-0.9007874344674897</x:v>
      </x:c>
    </x:row>
    <x:row r="67" ht="15" hidden="0" customHeight="1">
      <x:c r="A67" s="43" t="str">
        <x:v>2026-01-10</x:v>
      </x:c>
      <x:c r="B67" s="39" t="str">
        <x:v>Outbound Sales</x:v>
      </x:c>
      <x:c r="C67" s="39" t="n">
        <x:v>3233</x:v>
      </x:c>
      <x:c r="D67" s="39" t="n">
        <x:v>207</x:v>
      </x:c>
      <x:c r="E67" s="39" t="n">
        <x:v>2</x:v>
      </x:c>
      <x:c r="F67" s="44" t="n">
        <x:v>1254.69</x:v>
      </x:c>
      <x:c r="G67" s="44" t="n">
        <x:v>843.1099999999999</x:v>
      </x:c>
      <x:c r="H67" s="39" t="n">
        <x:v>6</x:v>
      </x:c>
      <x:c r="I67" s="41" t="n">
        <x:v>0.06402721930095887</x:v>
      </x:c>
      <x:c r="J67" s="41" t="n">
        <x:v>0.00966183574879227</x:v>
      </x:c>
      <x:c r="K67" s="44" t="n">
        <x:v>627.345</x:v>
      </x:c>
      <x:c r="L67" s="42" t="n">
        <x:v>0.6719667806390422</x:v>
      </x:c>
      <x:c r="M67" s="44" t="n">
        <x:v>-411.58000000000015</x:v>
      </x:c>
      <x:c r="N67" s="41" t="n">
        <x:v>-0.4881688035962095</x:v>
      </x:c>
    </x:row>
    <x:row r="68" ht="15" hidden="0" customHeight="1">
      <x:c r="A68" s="43" t="str">
        <x:v>2026-01-10</x:v>
      </x:c>
      <x:c r="B68" s="39" t="str">
        <x:v>Paid Search</x:v>
      </x:c>
      <x:c r="C68" s="39" t="n">
        <x:v>3168</x:v>
      </x:c>
      <x:c r="D68" s="39" t="n">
        <x:v>216</x:v>
      </x:c>
      <x:c r="E68" s="39" t="n">
        <x:v>3</x:v>
      </x:c>
      <x:c r="F68" s="44" t="n">
        <x:v>3192.13</x:v>
      </x:c>
      <x:c r="G68" s="44" t="n">
        <x:v>1760.1799999999998</x:v>
      </x:c>
      <x:c r="H68" s="39" t="n">
        <x:v>6</x:v>
      </x:c>
      <x:c r="I68" s="41" t="n">
        <x:v>0.06818181818181818</x:v>
      </x:c>
      <x:c r="J68" s="41" t="n">
        <x:v>0.013888888888888888</x:v>
      </x:c>
      <x:c r="K68" s="44" t="n">
        <x:v>1064.0433333333333</x:v>
      </x:c>
      <x:c r="L68" s="42" t="n">
        <x:v>0.5514123798216237</x:v>
      </x:c>
      <x:c r="M68" s="44" t="n">
        <x:v>-1431.9500000000003</x:v>
      </x:c>
      <x:c r="N68" s="41" t="n">
        <x:v>-0.8135247531502462</x:v>
      </x:c>
    </x:row>
    <x:row r="69" ht="15" hidden="0" customHeight="1">
      <x:c r="A69" s="43" t="str">
        <x:v>2026-01-10</x:v>
      </x:c>
      <x:c r="B69" s="39" t="str">
        <x:v>Partnerships</x:v>
      </x:c>
      <x:c r="C69" s="39" t="n">
        <x:v>2343</x:v>
      </x:c>
      <x:c r="D69" s="39" t="n">
        <x:v>121</x:v>
      </x:c>
      <x:c r="E69" s="39" t="n">
        <x:v>1</x:v>
      </x:c>
      <x:c r="F69" s="44" t="n">
        <x:v>1112.98</x:v>
      </x:c>
      <x:c r="G69" s="44" t="n">
        <x:v>323.59</x:v>
      </x:c>
      <x:c r="H69" s="39" t="n">
        <x:v>6</x:v>
      </x:c>
      <x:c r="I69" s="41" t="n">
        <x:v>0.051643192488262914</x:v>
      </x:c>
      <x:c r="J69" s="41" t="n">
        <x:v>0.008264462809917356</x:v>
      </x:c>
      <x:c r="K69" s="44" t="n">
        <x:v>1112.98</x:v>
      </x:c>
      <x:c r="L69" s="42" t="n">
        <x:v>0.29074197200309077</x:v>
      </x:c>
      <x:c r="M69" s="44" t="n">
        <x:v>-789.3900000000001</x:v>
      </x:c>
      <x:c r="N69" s="41" t="n">
        <x:v>-2.4394758799715697</x:v>
      </x:c>
    </x:row>
    <x:row r="70" ht="15" hidden="0" customHeight="1">
      <x:c r="A70" s="43" t="str">
        <x:v>2026-01-10</x:v>
      </x:c>
      <x:c r="B70" s="39" t="str">
        <x:v>Referral</x:v>
      </x:c>
      <x:c r="C70" s="39" t="n">
        <x:v>2789</x:v>
      </x:c>
      <x:c r="D70" s="39" t="n">
        <x:v>232</x:v>
      </x:c>
      <x:c r="E70" s="39" t="n">
        <x:v>6</x:v>
      </x:c>
      <x:c r="F70" s="44" t="n">
        <x:v>407.19000000000005</x:v>
      </x:c>
      <x:c r="G70" s="44" t="n">
        <x:v>2879.92</x:v>
      </x:c>
      <x:c r="H70" s="39" t="n">
        <x:v>6</x:v>
      </x:c>
      <x:c r="I70" s="41" t="n">
        <x:v>0.08318393689494442</x:v>
      </x:c>
      <x:c r="J70" s="41" t="n">
        <x:v>0.02586206896551724</x:v>
      </x:c>
      <x:c r="K70" s="44" t="n">
        <x:v>67.86500000000001</x:v>
      </x:c>
      <x:c r="L70" s="42" t="n">
        <x:v>7.072668778702816</x:v>
      </x:c>
      <x:c r="M70" s="44" t="n">
        <x:v>2472.73</x:v>
      </x:c>
      <x:c r="N70" s="41" t="n">
        <x:v>0.8586106558515514</x:v>
      </x:c>
    </x:row>
    <x:row r="71" ht="15" hidden="0" customHeight="1">
      <x:c r="A71" s="43" t="str">
        <x:v>2026-01-10</x:v>
      </x:c>
      <x:c r="B71" s="39" t="str">
        <x:v>SEO</x:v>
      </x:c>
      <x:c r="C71" s="39" t="n">
        <x:v>2449</x:v>
      </x:c>
      <x:c r="D71" s="39" t="n">
        <x:v>157</x:v>
      </x:c>
      <x:c r="E71" s="39" t="n">
        <x:v>2</x:v>
      </x:c>
      <x:c r="F71" s="44" t="n">
        <x:v>1406.18</x:v>
      </x:c>
      <x:c r="G71" s="44" t="n">
        <x:v>988.61</x:v>
      </x:c>
      <x:c r="H71" s="39" t="n">
        <x:v>6</x:v>
      </x:c>
      <x:c r="I71" s="41" t="n">
        <x:v>0.06410779910167415</x:v>
      </x:c>
      <x:c r="J71" s="41" t="n">
        <x:v>0.012738853503184714</x:v>
      </x:c>
      <x:c r="K71" s="44" t="n">
        <x:v>703.09</x:v>
      </x:c>
      <x:c r="L71" s="42" t="n">
        <x:v>0.7030465516505711</x:v>
      </x:c>
      <x:c r="M71" s="44" t="n">
        <x:v>-417.57000000000005</x:v>
      </x:c>
      <x:c r="N71" s="41" t="n">
        <x:v>-0.4223809186635782</x:v>
      </x:c>
    </x:row>
    <x:row r="72" ht="15" hidden="0" customHeight="1">
      <x:c r="A72" s="43" t="str">
        <x:v>2026-01-11</x:v>
      </x:c>
      <x:c r="B72" s="39" t="str">
        <x:v>Content</x:v>
      </x:c>
      <x:c r="C72" s="39" t="n">
        <x:v>2160</x:v>
      </x:c>
      <x:c r="D72" s="39" t="n">
        <x:v>90</x:v>
      </x:c>
      <x:c r="E72" s="39" t="n">
        <x:v>1</x:v>
      </x:c>
      <x:c r="F72" s="44" t="n">
        <x:v>1136.94</x:v>
      </x:c>
      <x:c r="G72" s="44" t="n">
        <x:v>508.2</x:v>
      </x:c>
      <x:c r="H72" s="39" t="n">
        <x:v>6</x:v>
      </x:c>
      <x:c r="I72" s="41" t="n">
        <x:v>0.041666666666666664</x:v>
      </x:c>
      <x:c r="J72" s="41" t="n">
        <x:v>0.011111111111111112</x:v>
      </x:c>
      <x:c r="K72" s="44" t="n">
        <x:v>1136.94</x:v>
      </x:c>
      <x:c r="L72" s="42" t="n">
        <x:v>0.4469892870336165</x:v>
      </x:c>
      <x:c r="M72" s="44" t="n">
        <x:v>-628.74</x:v>
      </x:c>
      <x:c r="N72" s="41" t="n">
        <x:v>-1.237190082644628</x:v>
      </x:c>
    </x:row>
    <x:row r="73" ht="15" hidden="0" customHeight="1">
      <x:c r="A73" s="43" t="str">
        <x:v>2026-01-11</x:v>
      </x:c>
      <x:c r="B73" s="39" t="str">
        <x:v>LinkedIn Ads</x:v>
      </x:c>
      <x:c r="C73" s="39" t="n">
        <x:v>3098</x:v>
      </x:c>
      <x:c r="D73" s="39" t="n">
        <x:v>169</x:v>
      </x:c>
      <x:c r="E73" s="39" t="n">
        <x:v>1</x:v>
      </x:c>
      <x:c r="F73" s="44" t="n">
        <x:v>1905.3500000000001</x:v>
      </x:c>
      <x:c r="G73" s="44" t="n">
        <x:v>709.96</x:v>
      </x:c>
      <x:c r="H73" s="39" t="n">
        <x:v>6</x:v>
      </x:c>
      <x:c r="I73" s="41" t="n">
        <x:v>0.05455132343447385</x:v>
      </x:c>
      <x:c r="J73" s="41" t="n">
        <x:v>0.005917159763313609</x:v>
      </x:c>
      <x:c r="K73" s="44" t="n">
        <x:v>1905.3500000000001</x:v>
      </x:c>
      <x:c r="L73" s="42" t="n">
        <x:v>0.3726139554412575</x:v>
      </x:c>
      <x:c r="M73" s="44" t="n">
        <x:v>-1195.39</x:v>
      </x:c>
      <x:c r="N73" s="41" t="n">
        <x:v>-1.6837427460702012</x:v>
      </x:c>
    </x:row>
    <x:row r="74" ht="15" hidden="0" customHeight="1">
      <x:c r="A74" s="43" t="str">
        <x:v>2026-01-11</x:v>
      </x:c>
      <x:c r="B74" s="39" t="str">
        <x:v>Outbound Sales</x:v>
      </x:c>
      <x:c r="C74" s="39" t="n">
        <x:v>2176</x:v>
      </x:c>
      <x:c r="D74" s="39" t="n">
        <x:v>141</x:v>
      </x:c>
      <x:c r="E74" s="39" t="n">
        <x:v>1</x:v>
      </x:c>
      <x:c r="F74" s="44" t="n">
        <x:v>1252.3</x:v>
      </x:c>
      <x:c r="G74" s="44" t="n">
        <x:v>751.39</x:v>
      </x:c>
      <x:c r="H74" s="39" t="n">
        <x:v>6</x:v>
      </x:c>
      <x:c r="I74" s="41" t="n">
        <x:v>0.06479779411764706</x:v>
      </x:c>
      <x:c r="J74" s="41" t="n">
        <x:v>0.0070921985815602835</x:v>
      </x:c>
      <x:c r="K74" s="44" t="n">
        <x:v>1252.3</x:v>
      </x:c>
      <x:c r="L74" s="42" t="n">
        <x:v>0.600007985307035</x:v>
      </x:c>
      <x:c r="M74" s="44" t="n">
        <x:v>-500.90999999999997</x:v>
      </x:c>
      <x:c r="N74" s="41" t="n">
        <x:v>-0.6666444855534409</x:v>
      </x:c>
    </x:row>
    <x:row r="75" ht="15" hidden="0" customHeight="1">
      <x:c r="A75" s="43" t="str">
        <x:v>2026-01-11</x:v>
      </x:c>
      <x:c r="B75" s="39" t="str">
        <x:v>Paid Search</x:v>
      </x:c>
      <x:c r="C75" s="39" t="n">
        <x:v>3324</x:v>
      </x:c>
      <x:c r="D75" s="39" t="n">
        <x:v>315</x:v>
      </x:c>
      <x:c r="E75" s="39" t="n">
        <x:v>3</x:v>
      </x:c>
      <x:c r="F75" s="44" t="n">
        <x:v>3431.3700000000003</x:v>
      </x:c>
      <x:c r="G75" s="44" t="n">
        <x:v>2106.3599999999997</x:v>
      </x:c>
      <x:c r="H75" s="39" t="n">
        <x:v>6</x:v>
      </x:c>
      <x:c r="I75" s="41" t="n">
        <x:v>0.09476534296028881</x:v>
      </x:c>
      <x:c r="J75" s="41" t="n">
        <x:v>0.009523809523809525</x:v>
      </x:c>
      <x:c r="K75" s="44" t="n">
        <x:v>1143.7900000000002</x:v>
      </x:c>
      <x:c r="L75" s="42" t="n">
        <x:v>0.6138539417200708</x:v>
      </x:c>
      <x:c r="M75" s="44" t="n">
        <x:v>-1325.0100000000007</x:v>
      </x:c>
      <x:c r="N75" s="41" t="n">
        <x:v>-0.6290520139007582</x:v>
      </x:c>
    </x:row>
    <x:row r="76" ht="15" hidden="0" customHeight="1">
      <x:c r="A76" s="43" t="str">
        <x:v>2026-01-11</x:v>
      </x:c>
      <x:c r="B76" s="39" t="str">
        <x:v>Partnerships</x:v>
      </x:c>
      <x:c r="C76" s="39" t="n">
        <x:v>1361</x:v>
      </x:c>
      <x:c r="D76" s="39" t="n">
        <x:v>55</x:v>
      </x:c>
      <x:c r="E76" s="39" t="n">
        <x:v>0</x:v>
      </x:c>
      <x:c r="F76" s="44" t="n">
        <x:v>1128.3</x:v>
      </x:c>
      <x:c r="G76" s="44" t="n">
        <x:v>0</x:v>
      </x:c>
      <x:c r="H76" s="39" t="n">
        <x:v>6</x:v>
      </x:c>
      <x:c r="I76" s="41" t="n">
        <x:v>0.04041146216017634</x:v>
      </x:c>
      <x:c r="J76" s="41" t="n">
        <x:v>0</x:v>
      </x:c>
      <x:c r="K76" s="44"/>
      <x:c r="L76" s="42" t="n">
        <x:v>0</x:v>
      </x:c>
      <x:c r="M76" s="44" t="n">
        <x:v>-1128.3</x:v>
      </x:c>
      <x:c r="N76" s="41"/>
    </x:row>
    <x:row r="77" ht="15" hidden="0" customHeight="1">
      <x:c r="A77" s="43" t="str">
        <x:v>2026-01-11</x:v>
      </x:c>
      <x:c r="B77" s="39" t="str">
        <x:v>Referral</x:v>
      </x:c>
      <x:c r="C77" s="39" t="n">
        <x:v>2272</x:v>
      </x:c>
      <x:c r="D77" s="39" t="n">
        <x:v>172</x:v>
      </x:c>
      <x:c r="E77" s="39" t="n">
        <x:v>6</x:v>
      </x:c>
      <x:c r="F77" s="44" t="n">
        <x:v>412.57</x:v>
      </x:c>
      <x:c r="G77" s="44" t="n">
        <x:v>3095.05</x:v>
      </x:c>
      <x:c r="H77" s="39" t="n">
        <x:v>6</x:v>
      </x:c>
      <x:c r="I77" s="41" t="n">
        <x:v>0.07570422535211267</x:v>
      </x:c>
      <x:c r="J77" s="41" t="n">
        <x:v>0.03488372093023256</x:v>
      </x:c>
      <x:c r="K77" s="44" t="n">
        <x:v>68.76166666666667</x:v>
      </x:c>
      <x:c r="L77" s="42" t="n">
        <x:v>7.501878469108273</x:v>
      </x:c>
      <x:c r="M77" s="44" t="n">
        <x:v>2682.48</x:v>
      </x:c>
      <x:c r="N77" s="41" t="n">
        <x:v>0.8667000533109319</x:v>
      </x:c>
    </x:row>
    <x:row r="78" ht="15" hidden="0" customHeight="1">
      <x:c r="A78" s="43" t="str">
        <x:v>2026-01-11</x:v>
      </x:c>
      <x:c r="B78" s="39" t="str">
        <x:v>SEO</x:v>
      </x:c>
      <x:c r="C78" s="39" t="n">
        <x:v>1973</x:v>
      </x:c>
      <x:c r="D78" s="39" t="n">
        <x:v>109</x:v>
      </x:c>
      <x:c r="E78" s="39" t="n">
        <x:v>2</x:v>
      </x:c>
      <x:c r="F78" s="44" t="n">
        <x:v>1314.98</x:v>
      </x:c>
      <x:c r="G78" s="44" t="n">
        <x:v>1223.81</x:v>
      </x:c>
      <x:c r="H78" s="39" t="n">
        <x:v>6</x:v>
      </x:c>
      <x:c r="I78" s="41" t="n">
        <x:v>0.055245818550430814</x:v>
      </x:c>
      <x:c r="J78" s="41" t="n">
        <x:v>0.01834862385321101</x:v>
      </x:c>
      <x:c r="K78" s="44" t="n">
        <x:v>657.49</x:v>
      </x:c>
      <x:c r="L78" s="42" t="n">
        <x:v>0.9306681470440614</x:v>
      </x:c>
      <x:c r="M78" s="44" t="n">
        <x:v>-91.17000000000007</x:v>
      </x:c>
      <x:c r="N78" s="41" t="n">
        <x:v>-0.07449685817242879</x:v>
      </x:c>
    </x:row>
    <x:row r="79" ht="15" hidden="0" customHeight="1">
      <x:c r="A79" s="43" t="str">
        <x:v>2026-01-12</x:v>
      </x:c>
      <x:c r="B79" s="39" t="str">
        <x:v>Content</x:v>
      </x:c>
      <x:c r="C79" s="39" t="n">
        <x:v>1961</x:v>
      </x:c>
      <x:c r="D79" s="39" t="n">
        <x:v>102</x:v>
      </x:c>
      <x:c r="E79" s="39" t="n">
        <x:v>1</x:v>
      </x:c>
      <x:c r="F79" s="44" t="n">
        <x:v>938.81</x:v>
      </x:c>
      <x:c r="G79" s="44" t="n">
        <x:v>255.09</x:v>
      </x:c>
      <x:c r="H79" s="39" t="n">
        <x:v>6</x:v>
      </x:c>
      <x:c r="I79" s="41" t="n">
        <x:v>0.05201427842937277</x:v>
      </x:c>
      <x:c r="J79" s="41" t="n">
        <x:v>0.00980392156862745</x:v>
      </x:c>
      <x:c r="K79" s="44" t="n">
        <x:v>938.81</x:v>
      </x:c>
      <x:c r="L79" s="42" t="n">
        <x:v>0.27171632172644095</x:v>
      </x:c>
      <x:c r="M79" s="44" t="n">
        <x:v>-683.7199999999999</x:v>
      </x:c>
      <x:c r="N79" s="41" t="n">
        <x:v>-2.680308910580579</x:v>
      </x:c>
    </x:row>
    <x:row r="80" ht="15" hidden="0" customHeight="1">
      <x:c r="A80" s="43" t="str">
        <x:v>2026-01-12</x:v>
      </x:c>
      <x:c r="B80" s="39" t="str">
        <x:v>LinkedIn Ads</x:v>
      </x:c>
      <x:c r="C80" s="39" t="n">
        <x:v>2294</x:v>
      </x:c>
      <x:c r="D80" s="39" t="n">
        <x:v>72</x:v>
      </x:c>
      <x:c r="E80" s="39" t="n">
        <x:v>0</x:v>
      </x:c>
      <x:c r="F80" s="44" t="n">
        <x:v>1131.07</x:v>
      </x:c>
      <x:c r="G80" s="44" t="n">
        <x:v>0</x:v>
      </x:c>
      <x:c r="H80" s="39" t="n">
        <x:v>6</x:v>
      </x:c>
      <x:c r="I80" s="41" t="n">
        <x:v>0.03138622493461203</x:v>
      </x:c>
      <x:c r="J80" s="41" t="n">
        <x:v>0</x:v>
      </x:c>
      <x:c r="K80" s="44"/>
      <x:c r="L80" s="42" t="n">
        <x:v>0</x:v>
      </x:c>
      <x:c r="M80" s="44" t="n">
        <x:v>-1131.07</x:v>
      </x:c>
      <x:c r="N80" s="41"/>
    </x:row>
    <x:row r="81" ht="15" hidden="0" customHeight="1">
      <x:c r="A81" s="43" t="str">
        <x:v>2026-01-12</x:v>
      </x:c>
      <x:c r="B81" s="39" t="str">
        <x:v>Outbound Sales</x:v>
      </x:c>
      <x:c r="C81" s="39" t="n">
        <x:v>2501</x:v>
      </x:c>
      <x:c r="D81" s="39" t="n">
        <x:v>179</x:v>
      </x:c>
      <x:c r="E81" s="39" t="n">
        <x:v>1</x:v>
      </x:c>
      <x:c r="F81" s="44" t="n">
        <x:v>1202.1299999999999</x:v>
      </x:c>
      <x:c r="G81" s="44" t="n">
        <x:v>520.39</x:v>
      </x:c>
      <x:c r="H81" s="39" t="n">
        <x:v>6</x:v>
      </x:c>
      <x:c r="I81" s="41" t="n">
        <x:v>0.07157137145141944</x:v>
      </x:c>
      <x:c r="J81" s="41" t="n">
        <x:v>0.00558659217877095</x:v>
      </x:c>
      <x:c r="K81" s="44" t="n">
        <x:v>1202.1299999999999</x:v>
      </x:c>
      <x:c r="L81" s="42" t="n">
        <x:v>0.432889953665577</x:v>
      </x:c>
      <x:c r="M81" s="44" t="n">
        <x:v>-681.7399999999999</x:v>
      </x:c>
      <x:c r="N81" s="41" t="n">
        <x:v>-1.3100559195987622</x:v>
      </x:c>
    </x:row>
    <x:row r="82" ht="15" hidden="0" customHeight="1">
      <x:c r="A82" s="43" t="str">
        <x:v>2026-01-12</x:v>
      </x:c>
      <x:c r="B82" s="39" t="str">
        <x:v>Paid Search</x:v>
      </x:c>
      <x:c r="C82" s="39" t="n">
        <x:v>2713</x:v>
      </x:c>
      <x:c r="D82" s="39" t="n">
        <x:v>130</x:v>
      </x:c>
      <x:c r="E82" s="39" t="n">
        <x:v>2</x:v>
      </x:c>
      <x:c r="F82" s="44" t="n">
        <x:v>2027.71</x:v>
      </x:c>
      <x:c r="G82" s="44" t="n">
        <x:v>1016.74</x:v>
      </x:c>
      <x:c r="H82" s="39" t="n">
        <x:v>6</x:v>
      </x:c>
      <x:c r="I82" s="41" t="n">
        <x:v>0.04791743457427202</x:v>
      </x:c>
      <x:c r="J82" s="41" t="n">
        <x:v>0.015384615384615385</x:v>
      </x:c>
      <x:c r="K82" s="44" t="n">
        <x:v>1013.855</x:v>
      </x:c>
      <x:c r="L82" s="42" t="n">
        <x:v>0.501422787282205</x:v>
      </x:c>
      <x:c r="M82" s="44" t="n">
        <x:v>-1010.97</x:v>
      </x:c>
      <x:c r="N82" s="41" t="n">
        <x:v>-0.9943249995082322</x:v>
      </x:c>
    </x:row>
    <x:row r="83" ht="15" hidden="0" customHeight="1">
      <x:c r="A83" s="43" t="str">
        <x:v>2026-01-12</x:v>
      </x:c>
      <x:c r="B83" s="39" t="str">
        <x:v>Partnerships</x:v>
      </x:c>
      <x:c r="C83" s="39" t="n">
        <x:v>1523</x:v>
      </x:c>
      <x:c r="D83" s="39" t="n">
        <x:v>93</x:v>
      </x:c>
      <x:c r="E83" s="39" t="n">
        <x:v>0</x:v>
      </x:c>
      <x:c r="F83" s="44" t="n">
        <x:v>846.48</x:v>
      </x:c>
      <x:c r="G83" s="44" t="n">
        <x:v>0</x:v>
      </x:c>
      <x:c r="H83" s="39" t="n">
        <x:v>6</x:v>
      </x:c>
      <x:c r="I83" s="41" t="n">
        <x:v>0.06106369008535785</x:v>
      </x:c>
      <x:c r="J83" s="41" t="n">
        <x:v>0</x:v>
      </x:c>
      <x:c r="K83" s="44"/>
      <x:c r="L83" s="42" t="n">
        <x:v>0</x:v>
      </x:c>
      <x:c r="M83" s="44" t="n">
        <x:v>-846.48</x:v>
      </x:c>
      <x:c r="N83" s="41"/>
    </x:row>
    <x:row r="84" ht="15" hidden="0" customHeight="1">
      <x:c r="A84" s="43" t="str">
        <x:v>2026-01-12</x:v>
      </x:c>
      <x:c r="B84" s="39" t="str">
        <x:v>Referral</x:v>
      </x:c>
      <x:c r="C84" s="39" t="n">
        <x:v>3413</x:v>
      </x:c>
      <x:c r="D84" s="39" t="n">
        <x:v>192</x:v>
      </x:c>
      <x:c r="E84" s="39" t="n">
        <x:v>8</x:v>
      </x:c>
      <x:c r="F84" s="44" t="n">
        <x:v>565.22</x:v>
      </x:c>
      <x:c r="G84" s="44" t="n">
        <x:v>3589.8</x:v>
      </x:c>
      <x:c r="H84" s="39" t="n">
        <x:v>6</x:v>
      </x:c>
      <x:c r="I84" s="41" t="n">
        <x:v>0.05625549370055669</x:v>
      </x:c>
      <x:c r="J84" s="41" t="n">
        <x:v>0.041666666666666664</x:v>
      </x:c>
      <x:c r="K84" s="44" t="n">
        <x:v>70.6525</x:v>
      </x:c>
      <x:c r="L84" s="42" t="n">
        <x:v>6.351155302360143</x:v>
      </x:c>
      <x:c r="M84" s="44" t="n">
        <x:v>3024.58</x:v>
      </x:c>
      <x:c r="N84" s="41" t="n">
        <x:v>0.8425483313833639</x:v>
      </x:c>
    </x:row>
    <x:row r="85" ht="15" hidden="0" customHeight="1">
      <x:c r="A85" s="43" t="str">
        <x:v>2026-01-12</x:v>
      </x:c>
      <x:c r="B85" s="39" t="str">
        <x:v>SEO</x:v>
      </x:c>
      <x:c r="C85" s="39" t="n">
        <x:v>2412</x:v>
      </x:c>
      <x:c r="D85" s="39" t="n">
        <x:v>94</x:v>
      </x:c>
      <x:c r="E85" s="39" t="n">
        <x:v>1</x:v>
      </x:c>
      <x:c r="F85" s="44" t="n">
        <x:v>1241.98</x:v>
      </x:c>
      <x:c r="G85" s="44" t="n">
        <x:v>728.39</x:v>
      </x:c>
      <x:c r="H85" s="39" t="n">
        <x:v>6</x:v>
      </x:c>
      <x:c r="I85" s="41" t="n">
        <x:v>0.03897180762852405</x:v>
      </x:c>
      <x:c r="J85" s="41" t="n">
        <x:v>0.010638297872340425</x:v>
      </x:c>
      <x:c r="K85" s="44" t="n">
        <x:v>1241.98</x:v>
      </x:c>
      <x:c r="L85" s="42" t="n">
        <x:v>0.5864748224609092</x:v>
      </x:c>
      <x:c r="M85" s="44" t="n">
        <x:v>-513.59</x:v>
      </x:c>
      <x:c r="N85" s="41" t="n">
        <x:v>-0.7051030354617719</x:v>
      </x:c>
    </x:row>
    <x:row r="86" ht="15" hidden="0" customHeight="1">
      <x:c r="A86" s="43" t="str">
        <x:v>2026-01-13</x:v>
      </x:c>
      <x:c r="B86" s="39" t="str">
        <x:v>Content</x:v>
      </x:c>
      <x:c r="C86" s="39" t="n">
        <x:v>1883</x:v>
      </x:c>
      <x:c r="D86" s="39" t="n">
        <x:v>113</x:v>
      </x:c>
      <x:c r="E86" s="39" t="n">
        <x:v>1</x:v>
      </x:c>
      <x:c r="F86" s="44" t="n">
        <x:v>939.84</x:v>
      </x:c>
      <x:c r="G86" s="44" t="n">
        <x:v>286.9</x:v>
      </x:c>
      <x:c r="H86" s="39" t="n">
        <x:v>6</x:v>
      </x:c>
      <x:c r="I86" s="41" t="n">
        <x:v>0.06001062134891131</x:v>
      </x:c>
      <x:c r="J86" s="41" t="n">
        <x:v>0.008849557522123894</x:v>
      </x:c>
      <x:c r="K86" s="44" t="n">
        <x:v>939.84</x:v>
      </x:c>
      <x:c r="L86" s="42" t="n">
        <x:v>0.3052647259107933</x:v>
      </x:c>
      <x:c r="M86" s="44" t="n">
        <x:v>-652.94</x:v>
      </x:c>
      <x:c r="N86" s="41" t="n">
        <x:v>-2.275845242244685</x:v>
      </x:c>
    </x:row>
    <x:row r="87" ht="15" hidden="0" customHeight="1">
      <x:c r="A87" s="43" t="str">
        <x:v>2026-01-13</x:v>
      </x:c>
      <x:c r="B87" s="39" t="str">
        <x:v>LinkedIn Ads</x:v>
      </x:c>
      <x:c r="C87" s="39" t="n">
        <x:v>2032</x:v>
      </x:c>
      <x:c r="D87" s="39" t="n">
        <x:v>84</x:v>
      </x:c>
      <x:c r="E87" s="39" t="n">
        <x:v>0</x:v>
      </x:c>
      <x:c r="F87" s="44" t="n">
        <x:v>1198.21</x:v>
      </x:c>
      <x:c r="G87" s="44" t="n">
        <x:v>0</x:v>
      </x:c>
      <x:c r="H87" s="39" t="n">
        <x:v>6</x:v>
      </x:c>
      <x:c r="I87" s="41" t="n">
        <x:v>0.04133858267716536</x:v>
      </x:c>
      <x:c r="J87" s="41" t="n">
        <x:v>0</x:v>
      </x:c>
      <x:c r="K87" s="44"/>
      <x:c r="L87" s="42" t="n">
        <x:v>0</x:v>
      </x:c>
      <x:c r="M87" s="44" t="n">
        <x:v>-1198.21</x:v>
      </x:c>
      <x:c r="N87" s="41"/>
    </x:row>
    <x:row r="88" ht="15" hidden="0" customHeight="1">
      <x:c r="A88" s="43" t="str">
        <x:v>2026-01-13</x:v>
      </x:c>
      <x:c r="B88" s="39" t="str">
        <x:v>Outbound Sales</x:v>
      </x:c>
      <x:c r="C88" s="39" t="n">
        <x:v>2273</x:v>
      </x:c>
      <x:c r="D88" s="39" t="n">
        <x:v>190</x:v>
      </x:c>
      <x:c r="E88" s="39" t="n">
        <x:v>1</x:v>
      </x:c>
      <x:c r="F88" s="44" t="n">
        <x:v>1431.13</x:v>
      </x:c>
      <x:c r="G88" s="44" t="n">
        <x:v>647.34</x:v>
      </x:c>
      <x:c r="H88" s="39" t="n">
        <x:v>6</x:v>
      </x:c>
      <x:c r="I88" s="41" t="n">
        <x:v>0.08358996920369556</x:v>
      </x:c>
      <x:c r="J88" s="41" t="n">
        <x:v>0.005263157894736842</x:v>
      </x:c>
      <x:c r="K88" s="44" t="n">
        <x:v>1431.13</x:v>
      </x:c>
      <x:c r="L88" s="42" t="n">
        <x:v>0.45232788076554886</x:v>
      </x:c>
      <x:c r="M88" s="44" t="n">
        <x:v>-783.7900000000001</x:v>
      </x:c>
      <x:c r="N88" s="41" t="n">
        <x:v>-1.2107856767695493</x:v>
      </x:c>
    </x:row>
    <x:row r="89" ht="15" hidden="0" customHeight="1">
      <x:c r="A89" s="43" t="str">
        <x:v>2026-01-13</x:v>
      </x:c>
      <x:c r="B89" s="39" t="str">
        <x:v>Paid Search</x:v>
      </x:c>
      <x:c r="C89" s="39" t="n">
        <x:v>2283</x:v>
      </x:c>
      <x:c r="D89" s="39" t="n">
        <x:v>119</x:v>
      </x:c>
      <x:c r="E89" s="39" t="n">
        <x:v>1</x:v>
      </x:c>
      <x:c r="F89" s="44" t="n">
        <x:v>1995.79</x:v>
      </x:c>
      <x:c r="G89" s="44" t="n">
        <x:v>293.04</x:v>
      </x:c>
      <x:c r="H89" s="39" t="n">
        <x:v>6</x:v>
      </x:c>
      <x:c r="I89" s="41" t="n">
        <x:v>0.052124397722295226</x:v>
      </x:c>
      <x:c r="J89" s="41" t="n">
        <x:v>0.008403361344537815</x:v>
      </x:c>
      <x:c r="K89" s="44" t="n">
        <x:v>1995.79</x:v>
      </x:c>
      <x:c r="L89" s="42" t="n">
        <x:v>0.14682907520330296</x:v>
      </x:c>
      <x:c r="M89" s="44" t="n">
        <x:v>-1702.75</x:v>
      </x:c>
      <x:c r="N89" s="41" t="n">
        <x:v>-5.810640185640185</x:v>
      </x:c>
    </x:row>
    <x:row r="90" ht="15" hidden="0" customHeight="1">
      <x:c r="A90" s="43" t="str">
        <x:v>2026-01-13</x:v>
      </x:c>
      <x:c r="B90" s="39" t="str">
        <x:v>Partnerships</x:v>
      </x:c>
      <x:c r="C90" s="39" t="n">
        <x:v>2031</x:v>
      </x:c>
      <x:c r="D90" s="39" t="n">
        <x:v>142</x:v>
      </x:c>
      <x:c r="E90" s="39" t="n">
        <x:v>1</x:v>
      </x:c>
      <x:c r="F90" s="44" t="n">
        <x:v>1011.38</x:v>
      </x:c>
      <x:c r="G90" s="44" t="n">
        <x:v>916.89</x:v>
      </x:c>
      <x:c r="H90" s="39" t="n">
        <x:v>6</x:v>
      </x:c>
      <x:c r="I90" s="41" t="n">
        <x:v>0.06991629739044805</x:v>
      </x:c>
      <x:c r="J90" s="41" t="n">
        <x:v>0.007042253521126761</x:v>
      </x:c>
      <x:c r="K90" s="44" t="n">
        <x:v>1011.38</x:v>
      </x:c>
      <x:c r="L90" s="42" t="n">
        <x:v>0.9065731970179359</x:v>
      </x:c>
      <x:c r="M90" s="44" t="n">
        <x:v>-94.49000000000001</x:v>
      </x:c>
      <x:c r="N90" s="41" t="n">
        <x:v>-0.1030548920808385</x:v>
      </x:c>
    </x:row>
    <x:row r="91" ht="15" hidden="0" customHeight="1">
      <x:c r="A91" s="43" t="str">
        <x:v>2026-01-13</x:v>
      </x:c>
      <x:c r="B91" s="39" t="str">
        <x:v>Referral</x:v>
      </x:c>
      <x:c r="C91" s="39" t="n">
        <x:v>3695</x:v>
      </x:c>
      <x:c r="D91" s="39" t="n">
        <x:v>300</x:v>
      </x:c>
      <x:c r="E91" s="39" t="n">
        <x:v>9</x:v>
      </x:c>
      <x:c r="F91" s="44" t="n">
        <x:v>563.02</x:v>
      </x:c>
      <x:c r="G91" s="44" t="n">
        <x:v>4329.68</x:v>
      </x:c>
      <x:c r="H91" s="39" t="n">
        <x:v>6</x:v>
      </x:c>
      <x:c r="I91" s="41" t="n">
        <x:v>0.08119079837618404</x:v>
      </x:c>
      <x:c r="J91" s="41" t="n">
        <x:v>0.03</x:v>
      </x:c>
      <x:c r="K91" s="44" t="n">
        <x:v>62.55777777777777</x:v>
      </x:c>
      <x:c r="L91" s="42" t="n">
        <x:v>7.690099818834145</x:v>
      </x:c>
      <x:c r="M91" s="44" t="n">
        <x:v>3766.6600000000003</x:v>
      </x:c>
      <x:c r="N91" s="41" t="n">
        <x:v>0.8699626762254947</x:v>
      </x:c>
    </x:row>
    <x:row r="92" ht="15" hidden="0" customHeight="1">
      <x:c r="A92" s="43" t="str">
        <x:v>2026-01-13</x:v>
      </x:c>
      <x:c r="B92" s="39" t="str">
        <x:v>SEO</x:v>
      </x:c>
      <x:c r="C92" s="39" t="n">
        <x:v>2267</x:v>
      </x:c>
      <x:c r="D92" s="39" t="n">
        <x:v>90</x:v>
      </x:c>
      <x:c r="E92" s="39" t="n">
        <x:v>1</x:v>
      </x:c>
      <x:c r="F92" s="44" t="n">
        <x:v>1159</x:v>
      </x:c>
      <x:c r="G92" s="44" t="n">
        <x:v>228.99</x:v>
      </x:c>
      <x:c r="H92" s="39" t="n">
        <x:v>6</x:v>
      </x:c>
      <x:c r="I92" s="41" t="n">
        <x:v>0.03970004411116013</x:v>
      </x:c>
      <x:c r="J92" s="41" t="n">
        <x:v>0.011111111111111112</x:v>
      </x:c>
      <x:c r="K92" s="44" t="n">
        <x:v>1159</x:v>
      </x:c>
      <x:c r="L92" s="42" t="n">
        <x:v>0.19757549611734254</x:v>
      </x:c>
      <x:c r="M92" s="44" t="n">
        <x:v>-930.01</x:v>
      </x:c>
      <x:c r="N92" s="41" t="n">
        <x:v>-4.061356391108782</x:v>
      </x:c>
    </x:row>
    <x:row r="93" ht="15" hidden="0" customHeight="1">
      <x:c r="A93" s="43" t="str">
        <x:v>2026-01-14</x:v>
      </x:c>
      <x:c r="B93" s="39" t="str">
        <x:v>Content</x:v>
      </x:c>
      <x:c r="C93" s="39" t="n">
        <x:v>1800</x:v>
      </x:c>
      <x:c r="D93" s="39" t="n">
        <x:v>99</x:v>
      </x:c>
      <x:c r="E93" s="39" t="n">
        <x:v>0</x:v>
      </x:c>
      <x:c r="F93" s="44" t="n">
        <x:v>680.49</x:v>
      </x:c>
      <x:c r="G93" s="44" t="n">
        <x:v>0</x:v>
      </x:c>
      <x:c r="H93" s="39" t="n">
        <x:v>6</x:v>
      </x:c>
      <x:c r="I93" s="41" t="n">
        <x:v>0.055</x:v>
      </x:c>
      <x:c r="J93" s="41" t="n">
        <x:v>0</x:v>
      </x:c>
      <x:c r="K93" s="44"/>
      <x:c r="L93" s="42" t="n">
        <x:v>0</x:v>
      </x:c>
      <x:c r="M93" s="44" t="n">
        <x:v>-680.49</x:v>
      </x:c>
      <x:c r="N93" s="41"/>
    </x:row>
    <x:row r="94" ht="15" hidden="0" customHeight="1">
      <x:c r="A94" s="43" t="str">
        <x:v>2026-01-14</x:v>
      </x:c>
      <x:c r="B94" s="39" t="str">
        <x:v>LinkedIn Ads</x:v>
      </x:c>
      <x:c r="C94" s="39" t="n">
        <x:v>2109</x:v>
      </x:c>
      <x:c r="D94" s="39" t="n">
        <x:v>102</x:v>
      </x:c>
      <x:c r="E94" s="39" t="n">
        <x:v>0</x:v>
      </x:c>
      <x:c r="F94" s="44" t="n">
        <x:v>1048.46</x:v>
      </x:c>
      <x:c r="G94" s="44" t="n">
        <x:v>0</x:v>
      </x:c>
      <x:c r="H94" s="39" t="n">
        <x:v>6</x:v>
      </x:c>
      <x:c r="I94" s="41" t="n">
        <x:v>0.04836415362731152</x:v>
      </x:c>
      <x:c r="J94" s="41" t="n">
        <x:v>0</x:v>
      </x:c>
      <x:c r="K94" s="44"/>
      <x:c r="L94" s="42" t="n">
        <x:v>0</x:v>
      </x:c>
      <x:c r="M94" s="44" t="n">
        <x:v>-1048.46</x:v>
      </x:c>
      <x:c r="N94" s="41"/>
    </x:row>
    <x:row r="95" ht="15" hidden="0" customHeight="1">
      <x:c r="A95" s="43" t="str">
        <x:v>2026-01-14</x:v>
      </x:c>
      <x:c r="B95" s="39" t="str">
        <x:v>Outbound Sales</x:v>
      </x:c>
      <x:c r="C95" s="39" t="n">
        <x:v>1362</x:v>
      </x:c>
      <x:c r="D95" s="39" t="n">
        <x:v>74</x:v>
      </x:c>
      <x:c r="E95" s="39" t="n">
        <x:v>0</x:v>
      </x:c>
      <x:c r="F95" s="44" t="n">
        <x:v>679.88</x:v>
      </x:c>
      <x:c r="G95" s="44" t="n">
        <x:v>0</x:v>
      </x:c>
      <x:c r="H95" s="39" t="n">
        <x:v>6</x:v>
      </x:c>
      <x:c r="I95" s="41" t="n">
        <x:v>0.05433186490455213</x:v>
      </x:c>
      <x:c r="J95" s="41" t="n">
        <x:v>0</x:v>
      </x:c>
      <x:c r="K95" s="44"/>
      <x:c r="L95" s="42" t="n">
        <x:v>0</x:v>
      </x:c>
      <x:c r="M95" s="44" t="n">
        <x:v>-679.88</x:v>
      </x:c>
      <x:c r="N95" s="41"/>
    </x:row>
    <x:row r="96" ht="15" hidden="0" customHeight="1">
      <x:c r="A96" s="43" t="str">
        <x:v>2026-01-14</x:v>
      </x:c>
      <x:c r="B96" s="39" t="str">
        <x:v>Paid Search</x:v>
      </x:c>
      <x:c r="C96" s="39" t="n">
        <x:v>2954</x:v>
      </x:c>
      <x:c r="D96" s="39" t="n">
        <x:v>133</x:v>
      </x:c>
      <x:c r="E96" s="39" t="n">
        <x:v>1</x:v>
      </x:c>
      <x:c r="F96" s="44" t="n">
        <x:v>1780.99</x:v>
      </x:c>
      <x:c r="G96" s="44" t="n">
        <x:v>522.99</x:v>
      </x:c>
      <x:c r="H96" s="39" t="n">
        <x:v>6</x:v>
      </x:c>
      <x:c r="I96" s="41" t="n">
        <x:v>0.045023696682464455</x:v>
      </x:c>
      <x:c r="J96" s="41" t="n">
        <x:v>0.007518796992481203</x:v>
      </x:c>
      <x:c r="K96" s="44" t="n">
        <x:v>1780.99</x:v>
      </x:c>
      <x:c r="L96" s="42" t="n">
        <x:v>0.2936512838365179</x:v>
      </x:c>
      <x:c r="M96" s="44" t="n">
        <x:v>-1258</x:v>
      </x:c>
      <x:c r="N96" s="41" t="n">
        <x:v>-2.4053997208359625</x:v>
      </x:c>
    </x:row>
    <x:row r="97" ht="15" hidden="0" customHeight="1">
      <x:c r="A97" s="43" t="str">
        <x:v>2026-01-14</x:v>
      </x:c>
      <x:c r="B97" s="39" t="str">
        <x:v>Partnerships</x:v>
      </x:c>
      <x:c r="C97" s="39" t="n">
        <x:v>1354</x:v>
      </x:c>
      <x:c r="D97" s="39" t="n">
        <x:v>52</x:v>
      </x:c>
      <x:c r="E97" s="39" t="n">
        <x:v>0</x:v>
      </x:c>
      <x:c r="F97" s="44" t="n">
        <x:v>635.36</x:v>
      </x:c>
      <x:c r="G97" s="44" t="n">
        <x:v>0</x:v>
      </x:c>
      <x:c r="H97" s="39" t="n">
        <x:v>6</x:v>
      </x:c>
      <x:c r="I97" s="41" t="n">
        <x:v>0.03840472673559823</x:v>
      </x:c>
      <x:c r="J97" s="41" t="n">
        <x:v>0</x:v>
      </x:c>
      <x:c r="K97" s="44"/>
      <x:c r="L97" s="42" t="n">
        <x:v>0</x:v>
      </x:c>
      <x:c r="M97" s="44" t="n">
        <x:v>-635.36</x:v>
      </x:c>
      <x:c r="N97" s="41"/>
    </x:row>
    <x:row r="98" ht="15" hidden="0" customHeight="1">
      <x:c r="A98" s="43" t="str">
        <x:v>2026-01-14</x:v>
      </x:c>
      <x:c r="B98" s="39" t="str">
        <x:v>Referral</x:v>
      </x:c>
      <x:c r="C98" s="39" t="n">
        <x:v>2847</x:v>
      </x:c>
      <x:c r="D98" s="39" t="n">
        <x:v>297</x:v>
      </x:c>
      <x:c r="E98" s="39" t="n">
        <x:v>8</x:v>
      </x:c>
      <x:c r="F98" s="44" t="n">
        <x:v>293.34</x:v>
      </x:c>
      <x:c r="G98" s="44" t="n">
        <x:v>4243.64</x:v>
      </x:c>
      <x:c r="H98" s="39" t="n">
        <x:v>6</x:v>
      </x:c>
      <x:c r="I98" s="41" t="n">
        <x:v>0.10432033719704953</x:v>
      </x:c>
      <x:c r="J98" s="41" t="n">
        <x:v>0.026936026936026935</x:v>
      </x:c>
      <x:c r="K98" s="44" t="n">
        <x:v>36.6675</x:v>
      </x:c>
      <x:c r="L98" s="42" t="n">
        <x:v>14.46662575850549</x:v>
      </x:c>
      <x:c r="M98" s="44" t="n">
        <x:v>3950.3</x:v>
      </x:c>
      <x:c r="N98" s="41" t="n">
        <x:v>0.930875380569511</x:v>
      </x:c>
    </x:row>
    <x:row r="99" ht="15" hidden="0" customHeight="1">
      <x:c r="A99" s="43" t="str">
        <x:v>2026-01-14</x:v>
      </x:c>
      <x:c r="B99" s="39" t="str">
        <x:v>SEO</x:v>
      </x:c>
      <x:c r="C99" s="39" t="n">
        <x:v>2868</x:v>
      </x:c>
      <x:c r="D99" s="39" t="n">
        <x:v>77</x:v>
      </x:c>
      <x:c r="E99" s="39" t="n">
        <x:v>0</x:v>
      </x:c>
      <x:c r="F99" s="44" t="n">
        <x:v>775.74</x:v>
      </x:c>
      <x:c r="G99" s="44" t="n">
        <x:v>0</x:v>
      </x:c>
      <x:c r="H99" s="39" t="n">
        <x:v>6</x:v>
      </x:c>
      <x:c r="I99" s="41" t="n">
        <x:v>0.02684797768479777</x:v>
      </x:c>
      <x:c r="J99" s="41" t="n">
        <x:v>0</x:v>
      </x:c>
      <x:c r="K99" s="44"/>
      <x:c r="L99" s="42" t="n">
        <x:v>0</x:v>
      </x:c>
      <x:c r="M99" s="44" t="n">
        <x:v>-775.74</x:v>
      </x:c>
      <x:c r="N99" s="41"/>
    </x:row>
    <x:row r="100" ht="15" hidden="0" customHeight="1">
      <x:c r="A100" s="43" t="str">
        <x:v>2026-01-15</x:v>
      </x:c>
      <x:c r="B100" s="39" t="str">
        <x:v>Content</x:v>
      </x:c>
      <x:c r="C100" s="39" t="n">
        <x:v>1845</x:v>
      </x:c>
      <x:c r="D100" s="39" t="n">
        <x:v>129</x:v>
      </x:c>
      <x:c r="E100" s="39" t="n">
        <x:v>2</x:v>
      </x:c>
      <x:c r="F100" s="44" t="n">
        <x:v>899.45</x:v>
      </x:c>
      <x:c r="G100" s="44" t="n">
        <x:v>859.19</x:v>
      </x:c>
      <x:c r="H100" s="39" t="n">
        <x:v>6</x:v>
      </x:c>
      <x:c r="I100" s="41" t="n">
        <x:v>0.06991869918699187</x:v>
      </x:c>
      <x:c r="J100" s="41" t="n">
        <x:v>0.015503875968992248</x:v>
      </x:c>
      <x:c r="K100" s="44" t="n">
        <x:v>449.725</x:v>
      </x:c>
      <x:c r="L100" s="42" t="n">
        <x:v>0.9552393129134471</x:v>
      </x:c>
      <x:c r="M100" s="44" t="n">
        <x:v>-40.25999999999999</x:v>
      </x:c>
      <x:c r="N100" s="41" t="n">
        <x:v>-0.046858087268241005</x:v>
      </x:c>
    </x:row>
    <x:row r="101" ht="15" hidden="0" customHeight="1">
      <x:c r="A101" s="43" t="str">
        <x:v>2026-01-15</x:v>
      </x:c>
      <x:c r="B101" s="39" t="str">
        <x:v>LinkedIn Ads</x:v>
      </x:c>
      <x:c r="C101" s="39" t="n">
        <x:v>2187</x:v>
      </x:c>
      <x:c r="D101" s="39" t="n">
        <x:v>78</x:v>
      </x:c>
      <x:c r="E101" s="39" t="n">
        <x:v>0</x:v>
      </x:c>
      <x:c r="F101" s="44" t="n">
        <x:v>1188.19</x:v>
      </x:c>
      <x:c r="G101" s="44" t="n">
        <x:v>0</x:v>
      </x:c>
      <x:c r="H101" s="39" t="n">
        <x:v>6</x:v>
      </x:c>
      <x:c r="I101" s="41" t="n">
        <x:v>0.03566529492455418</x:v>
      </x:c>
      <x:c r="J101" s="41" t="n">
        <x:v>0</x:v>
      </x:c>
      <x:c r="K101" s="44"/>
      <x:c r="L101" s="42" t="n">
        <x:v>0</x:v>
      </x:c>
      <x:c r="M101" s="44" t="n">
        <x:v>-1188.19</x:v>
      </x:c>
      <x:c r="N101" s="41"/>
    </x:row>
    <x:row r="102" ht="15" hidden="0" customHeight="1">
      <x:c r="A102" s="43" t="str">
        <x:v>2026-01-15</x:v>
      </x:c>
      <x:c r="B102" s="39" t="str">
        <x:v>Outbound Sales</x:v>
      </x:c>
      <x:c r="C102" s="39" t="n">
        <x:v>2634</x:v>
      </x:c>
      <x:c r="D102" s="39" t="n">
        <x:v>81</x:v>
      </x:c>
      <x:c r="E102" s="39" t="n">
        <x:v>0</x:v>
      </x:c>
      <x:c r="F102" s="44" t="n">
        <x:v>907.14</x:v>
      </x:c>
      <x:c r="G102" s="44" t="n">
        <x:v>0</x:v>
      </x:c>
      <x:c r="H102" s="39" t="n">
        <x:v>6</x:v>
      </x:c>
      <x:c r="I102" s="41" t="n">
        <x:v>0.030751708428246014</x:v>
      </x:c>
      <x:c r="J102" s="41" t="n">
        <x:v>0</x:v>
      </x:c>
      <x:c r="K102" s="44"/>
      <x:c r="L102" s="42" t="n">
        <x:v>0</x:v>
      </x:c>
      <x:c r="M102" s="44" t="n">
        <x:v>-907.14</x:v>
      </x:c>
      <x:c r="N102" s="41"/>
    </x:row>
    <x:row r="103" ht="15" hidden="0" customHeight="1">
      <x:c r="A103" s="43" t="str">
        <x:v>2026-01-15</x:v>
      </x:c>
      <x:c r="B103" s="39" t="str">
        <x:v>Paid Search</x:v>
      </x:c>
      <x:c r="C103" s="39" t="n">
        <x:v>2499</x:v>
      </x:c>
      <x:c r="D103" s="39" t="n">
        <x:v>159</x:v>
      </x:c>
      <x:c r="E103" s="39" t="n">
        <x:v>3</x:v>
      </x:c>
      <x:c r="F103" s="44" t="n">
        <x:v>1918.7</x:v>
      </x:c>
      <x:c r="G103" s="44" t="n">
        <x:v>1388.5700000000002</x:v>
      </x:c>
      <x:c r="H103" s="39" t="n">
        <x:v>6</x:v>
      </x:c>
      <x:c r="I103" s="41" t="n">
        <x:v>0.06362545018007203</x:v>
      </x:c>
      <x:c r="J103" s="41" t="n">
        <x:v>0.018867924528301886</x:v>
      </x:c>
      <x:c r="K103" s="44" t="n">
        <x:v>639.5666666666667</x:v>
      </x:c>
      <x:c r="L103" s="42" t="n">
        <x:v>0.7237035492781572</x:v>
      </x:c>
      <x:c r="M103" s="44" t="n">
        <x:v>-530.1299999999999</x:v>
      </x:c>
      <x:c r="N103" s="41" t="n">
        <x:v>-0.3817812569766017</x:v>
      </x:c>
    </x:row>
    <x:row r="104" ht="15" hidden="0" customHeight="1">
      <x:c r="A104" s="43" t="str">
        <x:v>2026-01-15</x:v>
      </x:c>
      <x:c r="B104" s="39" t="str">
        <x:v>Partnerships</x:v>
      </x:c>
      <x:c r="C104" s="39" t="n">
        <x:v>2031</x:v>
      </x:c>
      <x:c r="D104" s="39" t="n">
        <x:v>94</x:v>
      </x:c>
      <x:c r="E104" s="39" t="n">
        <x:v>0</x:v>
      </x:c>
      <x:c r="F104" s="44" t="n">
        <x:v>793.67</x:v>
      </x:c>
      <x:c r="G104" s="44" t="n">
        <x:v>0</x:v>
      </x:c>
      <x:c r="H104" s="39" t="n">
        <x:v>6</x:v>
      </x:c>
      <x:c r="I104" s="41" t="n">
        <x:v>0.046282619399310686</x:v>
      </x:c>
      <x:c r="J104" s="41" t="n">
        <x:v>0</x:v>
      </x:c>
      <x:c r="K104" s="44"/>
      <x:c r="L104" s="42" t="n">
        <x:v>0</x:v>
      </x:c>
      <x:c r="M104" s="44" t="n">
        <x:v>-793.67</x:v>
      </x:c>
      <x:c r="N104" s="41"/>
    </x:row>
    <x:row r="105" ht="15" hidden="0" customHeight="1">
      <x:c r="A105" s="43" t="str">
        <x:v>2026-01-15</x:v>
      </x:c>
      <x:c r="B105" s="39" t="str">
        <x:v>Referral</x:v>
      </x:c>
      <x:c r="C105" s="39" t="n">
        <x:v>2527</x:v>
      </x:c>
      <x:c r="D105" s="39" t="n">
        <x:v>248</x:v>
      </x:c>
      <x:c r="E105" s="39" t="n">
        <x:v>7</x:v>
      </x:c>
      <x:c r="F105" s="44" t="n">
        <x:v>472.52</x:v>
      </x:c>
      <x:c r="G105" s="44" t="n">
        <x:v>3398.1099999999997</x:v>
      </x:c>
      <x:c r="H105" s="39" t="n">
        <x:v>6</x:v>
      </x:c>
      <x:c r="I105" s="41" t="n">
        <x:v>0.09814008705975465</x:v>
      </x:c>
      <x:c r="J105" s="41" t="n">
        <x:v>0.028225806451612902</x:v>
      </x:c>
      <x:c r="K105" s="44" t="n">
        <x:v>67.50285714285714</x:v>
      </x:c>
      <x:c r="L105" s="42" t="n">
        <x:v>7.191462795225599</x:v>
      </x:c>
      <x:c r="M105" s="44" t="n">
        <x:v>2925.5899999999997</x:v>
      </x:c>
      <x:c r="N105" s="41" t="n">
        <x:v>0.8609462318759545</x:v>
      </x:c>
    </x:row>
    <x:row r="106" ht="15" hidden="0" customHeight="1">
      <x:c r="A106" s="43" t="str">
        <x:v>2026-01-15</x:v>
      </x:c>
      <x:c r="B106" s="39" t="str">
        <x:v>SEO</x:v>
      </x:c>
      <x:c r="C106" s="39" t="n">
        <x:v>2495</x:v>
      </x:c>
      <x:c r="D106" s="39" t="n">
        <x:v>97</x:v>
      </x:c>
      <x:c r="E106" s="39" t="n">
        <x:v>1</x:v>
      </x:c>
      <x:c r="F106" s="44" t="n">
        <x:v>1050.83</x:v>
      </x:c>
      <x:c r="G106" s="44" t="n">
        <x:v>423.7</x:v>
      </x:c>
      <x:c r="H106" s="39" t="n">
        <x:v>6</x:v>
      </x:c>
      <x:c r="I106" s="41" t="n">
        <x:v>0.038877755511022044</x:v>
      </x:c>
      <x:c r="J106" s="41" t="n">
        <x:v>0.010309278350515464</x:v>
      </x:c>
      <x:c r="K106" s="44" t="n">
        <x:v>1050.83</x:v>
      </x:c>
      <x:c r="L106" s="42" t="n">
        <x:v>0.4032050855038398</x:v>
      </x:c>
      <x:c r="M106" s="44" t="n">
        <x:v>-627.1299999999999</x:v>
      </x:c>
      <x:c r="N106" s="41" t="n">
        <x:v>-1.480127448666509</x:v>
      </x:c>
    </x:row>
    <x:row r="107" ht="15" hidden="0" customHeight="1">
      <x:c r="A107" s="43" t="str">
        <x:v>2026-01-16</x:v>
      </x:c>
      <x:c r="B107" s="39" t="str">
        <x:v>Content</x:v>
      </x:c>
      <x:c r="C107" s="39" t="n">
        <x:v>2649</x:v>
      </x:c>
      <x:c r="D107" s="39" t="n">
        <x:v>89</x:v>
      </x:c>
      <x:c r="E107" s="39" t="n">
        <x:v>1</x:v>
      </x:c>
      <x:c r="F107" s="44" t="n">
        <x:v>764.01</x:v>
      </x:c>
      <x:c r="G107" s="44" t="n">
        <x:v>356.62</x:v>
      </x:c>
      <x:c r="H107" s="39" t="n">
        <x:v>6</x:v>
      </x:c>
      <x:c r="I107" s="41" t="n">
        <x:v>0.033597583993959984</x:v>
      </x:c>
      <x:c r="J107" s="41" t="n">
        <x:v>0.011235955056179775</x:v>
      </x:c>
      <x:c r="K107" s="44" t="n">
        <x:v>764.01</x:v>
      </x:c>
      <x:c r="L107" s="42" t="n">
        <x:v>0.46677399510477613</x:v>
      </x:c>
      <x:c r="M107" s="44" t="n">
        <x:v>-407.39</x:v>
      </x:c>
      <x:c r="N107" s="41" t="n">
        <x:v>-1.142364421513095</x:v>
      </x:c>
    </x:row>
    <x:row r="108" ht="15" hidden="0" customHeight="1">
      <x:c r="A108" s="43" t="str">
        <x:v>2026-01-16</x:v>
      </x:c>
      <x:c r="B108" s="39" t="str">
        <x:v>LinkedIn Ads</x:v>
      </x:c>
      <x:c r="C108" s="39" t="n">
        <x:v>2534</x:v>
      </x:c>
      <x:c r="D108" s="39" t="n">
        <x:v>102</x:v>
      </x:c>
      <x:c r="E108" s="39" t="n">
        <x:v>1</x:v>
      </x:c>
      <x:c r="F108" s="44" t="n">
        <x:v>1161.54</x:v>
      </x:c>
      <x:c r="G108" s="44" t="n">
        <x:v>368.35</x:v>
      </x:c>
      <x:c r="H108" s="39" t="n">
        <x:v>6</x:v>
      </x:c>
      <x:c r="I108" s="41" t="n">
        <x:v>0.04025256511444357</x:v>
      </x:c>
      <x:c r="J108" s="41" t="n">
        <x:v>0.00980392156862745</x:v>
      </x:c>
      <x:c r="K108" s="44" t="n">
        <x:v>1161.54</x:v>
      </x:c>
      <x:c r="L108" s="42" t="n">
        <x:v>0.3171220965270245</x:v>
      </x:c>
      <x:c r="M108" s="44" t="n">
        <x:v>-793.1899999999999</x:v>
      </x:c>
      <x:c r="N108" s="41" t="n">
        <x:v>-2.1533595764897515</x:v>
      </x:c>
    </x:row>
    <x:row r="109" ht="15" hidden="0" customHeight="1">
      <x:c r="A109" s="43" t="str">
        <x:v>2026-01-16</x:v>
      </x:c>
      <x:c r="B109" s="39" t="str">
        <x:v>Outbound Sales</x:v>
      </x:c>
      <x:c r="C109" s="39" t="n">
        <x:v>2459</x:v>
      </x:c>
      <x:c r="D109" s="39" t="n">
        <x:v>152</x:v>
      </x:c>
      <x:c r="E109" s="39" t="n">
        <x:v>1</x:v>
      </x:c>
      <x:c r="F109" s="44" t="n">
        <x:v>1258.95</x:v>
      </x:c>
      <x:c r="G109" s="44" t="n">
        <x:v>752.98</x:v>
      </x:c>
      <x:c r="H109" s="39" t="n">
        <x:v>6</x:v>
      </x:c>
      <x:c r="I109" s="41" t="n">
        <x:v>0.0618137454249695</x:v>
      </x:c>
      <x:c r="J109" s="41" t="n">
        <x:v>0.006578947368421052</x:v>
      </x:c>
      <x:c r="K109" s="44" t="n">
        <x:v>1258.95</x:v>
      </x:c>
      <x:c r="L109" s="42" t="n">
        <x:v>0.5981015925970055</x:v>
      </x:c>
      <x:c r="M109" s="44" t="n">
        <x:v>-505.97</x:v>
      </x:c>
      <x:c r="N109" s="41" t="n">
        <x:v>-0.6719567584796409</x:v>
      </x:c>
    </x:row>
    <x:row r="110" ht="15" hidden="0" customHeight="1">
      <x:c r="A110" s="43" t="str">
        <x:v>2026-01-16</x:v>
      </x:c>
      <x:c r="B110" s="39" t="str">
        <x:v>Paid Search</x:v>
      </x:c>
      <x:c r="C110" s="39" t="n">
        <x:v>2586</x:v>
      </x:c>
      <x:c r="D110" s="39" t="n">
        <x:v>123</x:v>
      </x:c>
      <x:c r="E110" s="39" t="n">
        <x:v>1</x:v>
      </x:c>
      <x:c r="F110" s="44" t="n">
        <x:v>1926.4099999999999</x:v>
      </x:c>
      <x:c r="G110" s="44" t="n">
        <x:v>371.63</x:v>
      </x:c>
      <x:c r="H110" s="39" t="n">
        <x:v>6</x:v>
      </x:c>
      <x:c r="I110" s="41" t="n">
        <x:v>0.04756380510440835</x:v>
      </x:c>
      <x:c r="J110" s="41" t="n">
        <x:v>0.008130081300813009</x:v>
      </x:c>
      <x:c r="K110" s="44" t="n">
        <x:v>1926.4099999999999</x:v>
      </x:c>
      <x:c r="L110" s="42" t="n">
        <x:v>0.19291324276763513</x:v>
      </x:c>
      <x:c r="M110" s="44" t="n">
        <x:v>-1554.7799999999997</x:v>
      </x:c>
      <x:c r="N110" s="41" t="n">
        <x:v>-4.183677313456933</x:v>
      </x:c>
    </x:row>
    <x:row r="111" ht="15" hidden="0" customHeight="1">
      <x:c r="A111" s="43" t="str">
        <x:v>2026-01-16</x:v>
      </x:c>
      <x:c r="B111" s="39" t="str">
        <x:v>Partnerships</x:v>
      </x:c>
      <x:c r="C111" s="39" t="n">
        <x:v>2452</x:v>
      </x:c>
      <x:c r="D111" s="39" t="n">
        <x:v>138</x:v>
      </x:c>
      <x:c r="E111" s="39" t="n">
        <x:v>1</x:v>
      </x:c>
      <x:c r="F111" s="44" t="n">
        <x:v>937.27</x:v>
      </x:c>
      <x:c r="G111" s="44" t="n">
        <x:v>376.8</x:v>
      </x:c>
      <x:c r="H111" s="39" t="n">
        <x:v>6</x:v>
      </x:c>
      <x:c r="I111" s="41" t="n">
        <x:v>0.05628058727569331</x:v>
      </x:c>
      <x:c r="J111" s="41" t="n">
        <x:v>0.007246376811594203</x:v>
      </x:c>
      <x:c r="K111" s="44" t="n">
        <x:v>937.27</x:v>
      </x:c>
      <x:c r="L111" s="42" t="n">
        <x:v>0.40201862857020926</x:v>
      </x:c>
      <x:c r="M111" s="44" t="n">
        <x:v>-560.47</x:v>
      </x:c>
      <x:c r="N111" s="41" t="n">
        <x:v>-1.4874469214437367</x:v>
      </x:c>
    </x:row>
    <x:row r="112" ht="15" hidden="0" customHeight="1">
      <x:c r="A112" s="43" t="str">
        <x:v>2026-01-16</x:v>
      </x:c>
      <x:c r="B112" s="39" t="str">
        <x:v>Referral</x:v>
      </x:c>
      <x:c r="C112" s="39" t="n">
        <x:v>2621</x:v>
      </x:c>
      <x:c r="D112" s="39" t="n">
        <x:v>233</x:v>
      </x:c>
      <x:c r="E112" s="39" t="n">
        <x:v>6</x:v>
      </x:c>
      <x:c r="F112" s="44" t="n">
        <x:v>340.87</x:v>
      </x:c>
      <x:c r="G112" s="44" t="n">
        <x:v>3766.6499999999996</x:v>
      </x:c>
      <x:c r="H112" s="39" t="n">
        <x:v>6</x:v>
      </x:c>
      <x:c r="I112" s="41" t="n">
        <x:v>0.08889736741701641</x:v>
      </x:c>
      <x:c r="J112" s="41" t="n">
        <x:v>0.02575107296137339</x:v>
      </x:c>
      <x:c r="K112" s="44" t="n">
        <x:v>56.81166666666667</x:v>
      </x:c>
      <x:c r="L112" s="42" t="n">
        <x:v>11.050107078945052</x:v>
      </x:c>
      <x:c r="M112" s="44" t="n">
        <x:v>3425.7799999999997</x:v>
      </x:c>
      <x:c r="N112" s="41" t="n">
        <x:v>0.9095031393944221</x:v>
      </x:c>
    </x:row>
    <x:row r="113" ht="15" hidden="0" customHeight="1">
      <x:c r="A113" s="43" t="str">
        <x:v>2026-01-16</x:v>
      </x:c>
      <x:c r="B113" s="39" t="str">
        <x:v>SEO</x:v>
      </x:c>
      <x:c r="C113" s="39" t="n">
        <x:v>1877</x:v>
      </x:c>
      <x:c r="D113" s="39" t="n">
        <x:v>135</x:v>
      </x:c>
      <x:c r="E113" s="39" t="n">
        <x:v>1</x:v>
      </x:c>
      <x:c r="F113" s="44" t="n">
        <x:v>944.1700000000001</x:v>
      </x:c>
      <x:c r="G113" s="44" t="n">
        <x:v>305.28</x:v>
      </x:c>
      <x:c r="H113" s="39" t="n">
        <x:v>6</x:v>
      </x:c>
      <x:c r="I113" s="41" t="n">
        <x:v>0.07192328183271178</x:v>
      </x:c>
      <x:c r="J113" s="41" t="n">
        <x:v>0.007407407407407408</x:v>
      </x:c>
      <x:c r="K113" s="44" t="n">
        <x:v>944.1700000000001</x:v>
      </x:c>
      <x:c r="L113" s="42" t="n">
        <x:v>0.3233316034188758</x:v>
      </x:c>
      <x:c r="M113" s="44" t="n">
        <x:v>-638.8900000000001</x:v>
      </x:c>
      <x:c r="N113" s="41" t="n">
        <x:v>-2.092800052410902</x:v>
      </x:c>
    </x:row>
    <x:row r="114" ht="15" hidden="0" customHeight="1">
      <x:c r="A114" s="43" t="str">
        <x:v>2026-01-17</x:v>
      </x:c>
      <x:c r="B114" s="39" t="str">
        <x:v>Content</x:v>
      </x:c>
      <x:c r="C114" s="39" t="n">
        <x:v>1842</x:v>
      </x:c>
      <x:c r="D114" s="39" t="n">
        <x:v>141</x:v>
      </x:c>
      <x:c r="E114" s="39" t="n">
        <x:v>2</x:v>
      </x:c>
      <x:c r="F114" s="44" t="n">
        <x:v>1025.8899999999999</x:v>
      </x:c>
      <x:c r="G114" s="44" t="n">
        <x:v>651.62</x:v>
      </x:c>
      <x:c r="H114" s="39" t="n">
        <x:v>6</x:v>
      </x:c>
      <x:c r="I114" s="41" t="n">
        <x:v>0.07654723127035831</x:v>
      </x:c>
      <x:c r="J114" s="41" t="n">
        <x:v>0.014184397163120567</x:v>
      </x:c>
      <x:c r="K114" s="44" t="n">
        <x:v>512.9449999999999</x:v>
      </x:c>
      <x:c r="L114" s="42" t="n">
        <x:v>0.6351753111932079</x:v>
      </x:c>
      <x:c r="M114" s="44" t="n">
        <x:v>-374.26999999999987</x:v>
      </x:c>
      <x:c r="N114" s="41" t="n">
        <x:v>-0.5743684969767654</x:v>
      </x:c>
    </x:row>
    <x:row r="115" ht="15" hidden="0" customHeight="1">
      <x:c r="A115" s="43" t="str">
        <x:v>2026-01-17</x:v>
      </x:c>
      <x:c r="B115" s="39" t="str">
        <x:v>LinkedIn Ads</x:v>
      </x:c>
      <x:c r="C115" s="39" t="n">
        <x:v>1982</x:v>
      </x:c>
      <x:c r="D115" s="39" t="n">
        <x:v>104</x:v>
      </x:c>
      <x:c r="E115" s="39" t="n">
        <x:v>1</x:v>
      </x:c>
      <x:c r="F115" s="44" t="n">
        <x:v>1589.1399999999999</x:v>
      </x:c>
      <x:c r="G115" s="44" t="n">
        <x:v>370.04</x:v>
      </x:c>
      <x:c r="H115" s="39" t="n">
        <x:v>6</x:v>
      </x:c>
      <x:c r="I115" s="41" t="n">
        <x:v>0.05247225025227043</x:v>
      </x:c>
      <x:c r="J115" s="41" t="n">
        <x:v>0.009615384615384616</x:v>
      </x:c>
      <x:c r="K115" s="44" t="n">
        <x:v>1589.1399999999999</x:v>
      </x:c>
      <x:c r="L115" s="42" t="n">
        <x:v>0.23285550675207978</x:v>
      </x:c>
      <x:c r="M115" s="44" t="n">
        <x:v>-1219.1</x:v>
      </x:c>
      <x:c r="N115" s="41" t="n">
        <x:v>-3.294508701761971</x:v>
      </x:c>
    </x:row>
    <x:row r="116" ht="15" hidden="0" customHeight="1">
      <x:c r="A116" s="43" t="str">
        <x:v>2026-01-17</x:v>
      </x:c>
      <x:c r="B116" s="39" t="str">
        <x:v>Outbound Sales</x:v>
      </x:c>
      <x:c r="C116" s="39" t="n">
        <x:v>3318</x:v>
      </x:c>
      <x:c r="D116" s="39" t="n">
        <x:v>121</x:v>
      </x:c>
      <x:c r="E116" s="39" t="n">
        <x:v>1</x:v>
      </x:c>
      <x:c r="F116" s="44" t="n">
        <x:v>1329.23</x:v>
      </x:c>
      <x:c r="G116" s="44" t="n">
        <x:v>785.06</x:v>
      </x:c>
      <x:c r="H116" s="39" t="n">
        <x:v>6</x:v>
      </x:c>
      <x:c r="I116" s="41" t="n">
        <x:v>0.03646775165762507</x:v>
      </x:c>
      <x:c r="J116" s="41" t="n">
        <x:v>0.008264462809917356</x:v>
      </x:c>
      <x:c r="K116" s="44" t="n">
        <x:v>1329.23</x:v>
      </x:c>
      <x:c r="L116" s="42" t="n">
        <x:v>0.5906126103082235</x:v>
      </x:c>
      <x:c r="M116" s="44" t="n">
        <x:v>-544.1700000000001</x:v>
      </x:c>
      <x:c r="N116" s="41" t="n">
        <x:v>-0.6931572109138157</x:v>
      </x:c>
    </x:row>
    <x:row r="117" ht="15" hidden="0" customHeight="1">
      <x:c r="A117" s="43" t="str">
        <x:v>2026-01-17</x:v>
      </x:c>
      <x:c r="B117" s="39" t="str">
        <x:v>Paid Search</x:v>
      </x:c>
      <x:c r="C117" s="39" t="n">
        <x:v>3062</x:v>
      </x:c>
      <x:c r="D117" s="39" t="n">
        <x:v>178</x:v>
      </x:c>
      <x:c r="E117" s="39" t="n">
        <x:v>3</x:v>
      </x:c>
      <x:c r="F117" s="44" t="n">
        <x:v>2701.01</x:v>
      </x:c>
      <x:c r="G117" s="44" t="n">
        <x:v>1135.3400000000001</x:v>
      </x:c>
      <x:c r="H117" s="39" t="n">
        <x:v>6</x:v>
      </x:c>
      <x:c r="I117" s="41" t="n">
        <x:v>0.0581319399085565</x:v>
      </x:c>
      <x:c r="J117" s="41" t="n">
        <x:v>0.016853932584269662</x:v>
      </x:c>
      <x:c r="K117" s="44" t="n">
        <x:v>900.3366666666667</x:v>
      </x:c>
      <x:c r="L117" s="42" t="n">
        <x:v>0.42033905835224605</x:v>
      </x:c>
      <x:c r="M117" s="44" t="n">
        <x:v>-1565.67</x:v>
      </x:c>
      <x:c r="N117" s="41" t="n">
        <x:v>-1.3790318318741521</x:v>
      </x:c>
    </x:row>
    <x:row r="118" ht="15" hidden="0" customHeight="1">
      <x:c r="A118" s="43" t="str">
        <x:v>2026-01-17</x:v>
      </x:c>
      <x:c r="B118" s="39" t="str">
        <x:v>Partnerships</x:v>
      </x:c>
      <x:c r="C118" s="39" t="n">
        <x:v>2487</x:v>
      </x:c>
      <x:c r="D118" s="39" t="n">
        <x:v>217</x:v>
      </x:c>
      <x:c r="E118" s="39" t="n">
        <x:v>2</x:v>
      </x:c>
      <x:c r="F118" s="44" t="n">
        <x:v>1103.58</x:v>
      </x:c>
      <x:c r="G118" s="44" t="n">
        <x:v>957.29</x:v>
      </x:c>
      <x:c r="H118" s="39" t="n">
        <x:v>6</x:v>
      </x:c>
      <x:c r="I118" s="41" t="n">
        <x:v>0.08725371934057097</x:v>
      </x:c>
      <x:c r="J118" s="41" t="n">
        <x:v>0.009216589861751152</x:v>
      </x:c>
      <x:c r="K118" s="44" t="n">
        <x:v>551.79</x:v>
      </x:c>
      <x:c r="L118" s="42" t="n">
        <x:v>0.8674405117889052</x:v>
      </x:c>
      <x:c r="M118" s="44" t="n">
        <x:v>-146.28999999999996</x:v>
      </x:c>
      <x:c r="N118" s="41" t="n">
        <x:v>-0.1528168057746346</x:v>
      </x:c>
    </x:row>
    <x:row r="119" ht="15" hidden="0" customHeight="1">
      <x:c r="A119" s="43" t="str">
        <x:v>2026-01-17</x:v>
      </x:c>
      <x:c r="B119" s="39" t="str">
        <x:v>Referral</x:v>
      </x:c>
      <x:c r="C119" s="39" t="n">
        <x:v>3268</x:v>
      </x:c>
      <x:c r="D119" s="39" t="n">
        <x:v>237</x:v>
      </x:c>
      <x:c r="E119" s="39" t="n">
        <x:v>6</x:v>
      </x:c>
      <x:c r="F119" s="44" t="n">
        <x:v>427.07</x:v>
      </x:c>
      <x:c r="G119" s="44" t="n">
        <x:v>3751.7799999999997</x:v>
      </x:c>
      <x:c r="H119" s="39" t="n">
        <x:v>6</x:v>
      </x:c>
      <x:c r="I119" s="41" t="n">
        <x:v>0.07252141982864137</x:v>
      </x:c>
      <x:c r="J119" s="41" t="n">
        <x:v>0.02531645569620253</x:v>
      </x:c>
      <x:c r="K119" s="44" t="n">
        <x:v>71.17833333333333</x:v>
      </x:c>
      <x:c r="L119" s="42" t="n">
        <x:v>8.784929870981337</x:v>
      </x:c>
      <x:c r="M119" s="44" t="n">
        <x:v>3324.7099999999996</x:v>
      </x:c>
      <x:c r="N119" s="41" t="n">
        <x:v>0.8861686985910687</x:v>
      </x:c>
    </x:row>
    <x:row r="120" ht="15" hidden="0" customHeight="1">
      <x:c r="A120" s="43" t="str">
        <x:v>2026-01-17</x:v>
      </x:c>
      <x:c r="B120" s="39" t="str">
        <x:v>SEO</x:v>
      </x:c>
      <x:c r="C120" s="39" t="n">
        <x:v>2564</x:v>
      </x:c>
      <x:c r="D120" s="39" t="n">
        <x:v>157</x:v>
      </x:c>
      <x:c r="E120" s="39" t="n">
        <x:v>2</x:v>
      </x:c>
      <x:c r="F120" s="44" t="n">
        <x:v>1169.93</x:v>
      </x:c>
      <x:c r="G120" s="44" t="n">
        <x:v>494.53999999999996</x:v>
      </x:c>
      <x:c r="H120" s="39" t="n">
        <x:v>6</x:v>
      </x:c>
      <x:c r="I120" s="41" t="n">
        <x:v>0.06123244929797192</x:v>
      </x:c>
      <x:c r="J120" s="41" t="n">
        <x:v>0.012738853503184714</x:v>
      </x:c>
      <x:c r="K120" s="44" t="n">
        <x:v>584.965</x:v>
      </x:c>
      <x:c r="L120" s="42" t="n">
        <x:v>0.42270905096886136</x:v>
      </x:c>
      <x:c r="M120" s="44" t="n">
        <x:v>-675.3900000000001</x:v>
      </x:c>
      <x:c r="N120" s="41" t="n">
        <x:v>-1.3656933716180697</x:v>
      </x:c>
    </x:row>
    <x:row r="121" ht="15" hidden="0" customHeight="1">
      <x:c r="A121" s="43" t="str">
        <x:v>2026-01-18</x:v>
      </x:c>
      <x:c r="B121" s="39" t="str">
        <x:v>Content</x:v>
      </x:c>
      <x:c r="C121" s="39" t="n">
        <x:v>2267</x:v>
      </x:c>
      <x:c r="D121" s="39" t="n">
        <x:v>78</x:v>
      </x:c>
      <x:c r="E121" s="39" t="n">
        <x:v>1</x:v>
      </x:c>
      <x:c r="F121" s="44" t="n">
        <x:v>1138.1599999999999</x:v>
      </x:c>
      <x:c r="G121" s="44" t="n">
        <x:v>343</x:v>
      </x:c>
      <x:c r="H121" s="39" t="n">
        <x:v>6</x:v>
      </x:c>
      <x:c r="I121" s="41" t="n">
        <x:v>0.03440670489633877</x:v>
      </x:c>
      <x:c r="J121" s="41" t="n">
        <x:v>0.01282051282051282</x:v>
      </x:c>
      <x:c r="K121" s="44" t="n">
        <x:v>1138.1599999999999</x:v>
      </x:c>
      <x:c r="L121" s="42" t="n">
        <x:v>0.30136360441414217</x:v>
      </x:c>
      <x:c r="M121" s="44" t="n">
        <x:v>-795.1599999999999</x:v>
      </x:c>
      <x:c r="N121" s="41" t="n">
        <x:v>-2.3182507288629735</x:v>
      </x:c>
    </x:row>
    <x:row r="122" ht="15" hidden="0" customHeight="1">
      <x:c r="A122" s="43" t="str">
        <x:v>2026-01-18</x:v>
      </x:c>
      <x:c r="B122" s="39" t="str">
        <x:v>LinkedIn Ads</x:v>
      </x:c>
      <x:c r="C122" s="39" t="n">
        <x:v>2629</x:v>
      </x:c>
      <x:c r="D122" s="39" t="n">
        <x:v>93</x:v>
      </x:c>
      <x:c r="E122" s="39" t="n">
        <x:v>1</x:v>
      </x:c>
      <x:c r="F122" s="44" t="n">
        <x:v>1780.79</x:v>
      </x:c>
      <x:c r="G122" s="44" t="n">
        <x:v>690.16</x:v>
      </x:c>
      <x:c r="H122" s="39" t="n">
        <x:v>6</x:v>
      </x:c>
      <x:c r="I122" s="41" t="n">
        <x:v>0.03537466717383035</x:v>
      </x:c>
      <x:c r="J122" s="41" t="n">
        <x:v>0.010752688172043012</x:v>
      </x:c>
      <x:c r="K122" s="44" t="n">
        <x:v>1780.79</x:v>
      </x:c>
      <x:c r="L122" s="42" t="n">
        <x:v>0.38755833085316066</x:v>
      </x:c>
      <x:c r="M122" s="44" t="n">
        <x:v>-1090.63</x:v>
      </x:c>
      <x:c r="N122" s="41" t="n">
        <x:v>-1.5802567520574942</x:v>
      </x:c>
    </x:row>
    <x:row r="123" ht="15" hidden="0" customHeight="1">
      <x:c r="A123" s="43" t="str">
        <x:v>2026-01-18</x:v>
      </x:c>
      <x:c r="B123" s="39" t="str">
        <x:v>Outbound Sales</x:v>
      </x:c>
      <x:c r="C123" s="39" t="n">
        <x:v>3697</x:v>
      </x:c>
      <x:c r="D123" s="39" t="n">
        <x:v>173</x:v>
      </x:c>
      <x:c r="E123" s="39" t="n">
        <x:v>2</x:v>
      </x:c>
      <x:c r="F123" s="44" t="n">
        <x:v>1406.84</x:v>
      </x:c>
      <x:c r="G123" s="44" t="n">
        <x:v>1311.9</x:v>
      </x:c>
      <x:c r="H123" s="39" t="n">
        <x:v>6</x:v>
      </x:c>
      <x:c r="I123" s="41" t="n">
        <x:v>0.04679469840411144</x:v>
      </x:c>
      <x:c r="J123" s="41" t="n">
        <x:v>0.011560693641618497</x:v>
      </x:c>
      <x:c r="K123" s="44" t="n">
        <x:v>703.42</x:v>
      </x:c>
      <x:c r="L123" s="42" t="n">
        <x:v>0.932515424639618</x:v>
      </x:c>
      <x:c r="M123" s="44" t="n">
        <x:v>-94.93999999999983</x:v>
      </x:c>
      <x:c r="N123" s="41" t="n">
        <x:v>-0.07236832075615506</x:v>
      </x:c>
    </x:row>
    <x:row r="124" ht="15" hidden="0" customHeight="1">
      <x:c r="A124" s="43" t="str">
        <x:v>2026-01-18</x:v>
      </x:c>
      <x:c r="B124" s="39" t="str">
        <x:v>Paid Search</x:v>
      </x:c>
      <x:c r="C124" s="39" t="n">
        <x:v>3203</x:v>
      </x:c>
      <x:c r="D124" s="39" t="n">
        <x:v>237</x:v>
      </x:c>
      <x:c r="E124" s="39" t="n">
        <x:v>4</x:v>
      </x:c>
      <x:c r="F124" s="44" t="n">
        <x:v>3044.62</x:v>
      </x:c>
      <x:c r="G124" s="44" t="n">
        <x:v>2029.35</x:v>
      </x:c>
      <x:c r="H124" s="39" t="n">
        <x:v>6</x:v>
      </x:c>
      <x:c r="I124" s="41" t="n">
        <x:v>0.07399313143927568</x:v>
      </x:c>
      <x:c r="J124" s="41" t="n">
        <x:v>0.016877637130801686</x:v>
      </x:c>
      <x:c r="K124" s="44" t="n">
        <x:v>761.155</x:v>
      </x:c>
      <x:c r="L124" s="42" t="n">
        <x:v>0.6665363822086171</x:v>
      </x:c>
      <x:c r="M124" s="44" t="n">
        <x:v>-1015.27</x:v>
      </x:c>
      <x:c r="N124" s="41" t="n">
        <x:v>-0.5002931973291941</x:v>
      </x:c>
    </x:row>
    <x:row r="125" ht="15" hidden="0" customHeight="1">
      <x:c r="A125" s="43" t="str">
        <x:v>2026-01-18</x:v>
      </x:c>
      <x:c r="B125" s="39" t="str">
        <x:v>Partnerships</x:v>
      </x:c>
      <x:c r="C125" s="39" t="n">
        <x:v>2201</x:v>
      </x:c>
      <x:c r="D125" s="39" t="n">
        <x:v>98</x:v>
      </x:c>
      <x:c r="E125" s="39" t="n">
        <x:v>1</x:v>
      </x:c>
      <x:c r="F125" s="44" t="n">
        <x:v>1198.86</x:v>
      </x:c>
      <x:c r="G125" s="44" t="n">
        <x:v>647.07</x:v>
      </x:c>
      <x:c r="H125" s="39" t="n">
        <x:v>6</x:v>
      </x:c>
      <x:c r="I125" s="41" t="n">
        <x:v>0.044525215810995</x:v>
      </x:c>
      <x:c r="J125" s="41" t="n">
        <x:v>0.01020408163265306</x:v>
      </x:c>
      <x:c r="K125" s="44" t="n">
        <x:v>1198.86</x:v>
      </x:c>
      <x:c r="L125" s="42" t="n">
        <x:v>0.5397377508633202</x:v>
      </x:c>
      <x:c r="M125" s="44" t="n">
        <x:v>-551.7899999999998</x:v>
      </x:c>
      <x:c r="N125" s="41" t="n">
        <x:v>-0.8527516342899529</x:v>
      </x:c>
    </x:row>
    <x:row r="126" ht="15" hidden="0" customHeight="1">
      <x:c r="A126" s="43" t="str">
        <x:v>2026-01-18</x:v>
      </x:c>
      <x:c r="B126" s="39" t="str">
        <x:v>Referral</x:v>
      </x:c>
      <x:c r="C126" s="39" t="n">
        <x:v>2677</x:v>
      </x:c>
      <x:c r="D126" s="39" t="n">
        <x:v>212</x:v>
      </x:c>
      <x:c r="E126" s="39" t="n">
        <x:v>6</x:v>
      </x:c>
      <x:c r="F126" s="44" t="n">
        <x:v>478.48</x:v>
      </x:c>
      <x:c r="G126" s="44" t="n">
        <x:v>2673.7</x:v>
      </x:c>
      <x:c r="H126" s="39" t="n">
        <x:v>6</x:v>
      </x:c>
      <x:c r="I126" s="41" t="n">
        <x:v>0.07919312663429212</x:v>
      </x:c>
      <x:c r="J126" s="41" t="n">
        <x:v>0.02830188679245283</x:v>
      </x:c>
      <x:c r="K126" s="44" t="n">
        <x:v>79.74666666666667</x:v>
      </x:c>
      <x:c r="L126" s="42" t="n">
        <x:v>5.5879033606420325</x:v>
      </x:c>
      <x:c r="M126" s="44" t="n">
        <x:v>2195.22</x:v>
      </x:c>
      <x:c r="N126" s="41" t="n">
        <x:v>0.8210420017204623</x:v>
      </x:c>
    </x:row>
    <x:row r="127" ht="15" hidden="0" customHeight="1">
      <x:c r="A127" s="43" t="str">
        <x:v>2026-01-18</x:v>
      </x:c>
      <x:c r="B127" s="39" t="str">
        <x:v>SEO</x:v>
      </x:c>
      <x:c r="C127" s="39" t="n">
        <x:v>2279</x:v>
      </x:c>
      <x:c r="D127" s="39" t="n">
        <x:v>82</x:v>
      </x:c>
      <x:c r="E127" s="39" t="n">
        <x:v>1</x:v>
      </x:c>
      <x:c r="F127" s="44" t="n">
        <x:v>1257.46</x:v>
      </x:c>
      <x:c r="G127" s="44" t="n">
        <x:v>256.29</x:v>
      </x:c>
      <x:c r="H127" s="39" t="n">
        <x:v>6</x:v>
      </x:c>
      <x:c r="I127" s="41" t="n">
        <x:v>0.035980693286529176</x:v>
      </x:c>
      <x:c r="J127" s="41" t="n">
        <x:v>0.012195121951219513</x:v>
      </x:c>
      <x:c r="K127" s="44" t="n">
        <x:v>1257.46</x:v>
      </x:c>
      <x:c r="L127" s="42" t="n">
        <x:v>0.20381562833012581</x:v>
      </x:c>
      <x:c r="M127" s="44" t="n">
        <x:v>-1001.1700000000001</x:v>
      </x:c>
      <x:c r="N127" s="41" t="n">
        <x:v>-3.9063950993015726</x:v>
      </x:c>
    </x:row>
    <x:row r="128" ht="15" hidden="0" customHeight="1">
      <x:c r="A128" s="43" t="str">
        <x:v>2026-01-19</x:v>
      </x:c>
      <x:c r="B128" s="39" t="str">
        <x:v>Content</x:v>
      </x:c>
      <x:c r="C128" s="39" t="n">
        <x:v>1997</x:v>
      </x:c>
      <x:c r="D128" s="39" t="n">
        <x:v>79</x:v>
      </x:c>
      <x:c r="E128" s="39" t="n">
        <x:v>1</x:v>
      </x:c>
      <x:c r="F128" s="44" t="n">
        <x:v>1112.31</x:v>
      </x:c>
      <x:c r="G128" s="44" t="n">
        <x:v>363.47</x:v>
      </x:c>
      <x:c r="H128" s="39" t="n">
        <x:v>6</x:v>
      </x:c>
      <x:c r="I128" s="41" t="n">
        <x:v>0.039559339008512766</x:v>
      </x:c>
      <x:c r="J128" s="41" t="n">
        <x:v>0.012658227848101266</x:v>
      </x:c>
      <x:c r="K128" s="44" t="n">
        <x:v>1112.31</x:v>
      </x:c>
      <x:c r="L128" s="42" t="n">
        <x:v>0.32677041472251445</x:v>
      </x:c>
      <x:c r="M128" s="44" t="n">
        <x:v>-748.8399999999999</x:v>
      </x:c>
      <x:c r="N128" s="41" t="n">
        <x:v>-2.0602525655487383</x:v>
      </x:c>
    </x:row>
    <x:row r="129" ht="15" hidden="0" customHeight="1">
      <x:c r="A129" s="43" t="str">
        <x:v>2026-01-19</x:v>
      </x:c>
      <x:c r="B129" s="39" t="str">
        <x:v>LinkedIn Ads</x:v>
      </x:c>
      <x:c r="C129" s="39" t="n">
        <x:v>2872</x:v>
      </x:c>
      <x:c r="D129" s="39" t="n">
        <x:v>245</x:v>
      </x:c>
      <x:c r="E129" s="39" t="n">
        <x:v>2</x:v>
      </x:c>
      <x:c r="F129" s="44" t="n">
        <x:v>1796.84</x:v>
      </x:c>
      <x:c r="G129" s="44" t="n">
        <x:v>880.0899999999999</x:v>
      </x:c>
      <x:c r="H129" s="39" t="n">
        <x:v>6</x:v>
      </x:c>
      <x:c r="I129" s="41" t="n">
        <x:v>0.08530640668523677</x:v>
      </x:c>
      <x:c r="J129" s="41" t="n">
        <x:v>0.00816326530612245</x:v>
      </x:c>
      <x:c r="K129" s="44" t="n">
        <x:v>898.42</x:v>
      </x:c>
      <x:c r="L129" s="42" t="n">
        <x:v>0.4897987578192827</x:v>
      </x:c>
      <x:c r="M129" s="44" t="n">
        <x:v>-916.75</x:v>
      </x:c>
      <x:c r="N129" s="41" t="n">
        <x:v>-1.0416548307559454</x:v>
      </x:c>
    </x:row>
    <x:row r="130" ht="15" hidden="0" customHeight="1">
      <x:c r="A130" s="43" t="str">
        <x:v>2026-01-19</x:v>
      </x:c>
      <x:c r="B130" s="39" t="str">
        <x:v>Outbound Sales</x:v>
      </x:c>
      <x:c r="C130" s="39" t="n">
        <x:v>2369</x:v>
      </x:c>
      <x:c r="D130" s="39" t="n">
        <x:v>150</x:v>
      </x:c>
      <x:c r="E130" s="39" t="n">
        <x:v>1</x:v>
      </x:c>
      <x:c r="F130" s="44" t="n">
        <x:v>1357.02</x:v>
      </x:c>
      <x:c r="G130" s="44" t="n">
        <x:v>570.76</x:v>
      </x:c>
      <x:c r="H130" s="39" t="n">
        <x:v>6</x:v>
      </x:c>
      <x:c r="I130" s="41" t="n">
        <x:v>0.06331785563528915</x:v>
      </x:c>
      <x:c r="J130" s="41" t="n">
        <x:v>0.006666666666666667</x:v>
      </x:c>
      <x:c r="K130" s="44" t="n">
        <x:v>1357.02</x:v>
      </x:c>
      <x:c r="L130" s="42" t="n">
        <x:v>0.42059807519417547</x:v>
      </x:c>
      <x:c r="M130" s="44" t="n">
        <x:v>-786.26</x:v>
      </x:c>
      <x:c r="N130" s="41" t="n">
        <x:v>-1.3775667531011284</x:v>
      </x:c>
    </x:row>
    <x:row r="131" ht="15" hidden="0" customHeight="1">
      <x:c r="A131" s="43" t="str">
        <x:v>2026-01-19</x:v>
      </x:c>
      <x:c r="B131" s="39" t="str">
        <x:v>Paid Search</x:v>
      </x:c>
      <x:c r="C131" s="39" t="n">
        <x:v>1938</x:v>
      </x:c>
      <x:c r="D131" s="39" t="n">
        <x:v>141</x:v>
      </x:c>
      <x:c r="E131" s="39" t="n">
        <x:v>2</x:v>
      </x:c>
      <x:c r="F131" s="44" t="n">
        <x:v>3074.12</x:v>
      </x:c>
      <x:c r="G131" s="44" t="n">
        <x:v>956.63</x:v>
      </x:c>
      <x:c r="H131" s="39" t="n">
        <x:v>6</x:v>
      </x:c>
      <x:c r="I131" s="41" t="n">
        <x:v>0.07275541795665634</x:v>
      </x:c>
      <x:c r="J131" s="41" t="n">
        <x:v>0.014184397163120567</x:v>
      </x:c>
      <x:c r="K131" s="44" t="n">
        <x:v>1537.06</x:v>
      </x:c>
      <x:c r="L131" s="42" t="n">
        <x:v>0.3111882424889074</x:v>
      </x:c>
      <x:c r="M131" s="44" t="n">
        <x:v>-2117.49</x:v>
      </x:c>
      <x:c r="N131" s="41" t="n">
        <x:v>-2.2134890187428784</x:v>
      </x:c>
    </x:row>
    <x:row r="132" ht="15" hidden="0" customHeight="1">
      <x:c r="A132" s="43" t="str">
        <x:v>2026-01-19</x:v>
      </x:c>
      <x:c r="B132" s="39" t="str">
        <x:v>Partnerships</x:v>
      </x:c>
      <x:c r="C132" s="39" t="n">
        <x:v>2346</x:v>
      </x:c>
      <x:c r="D132" s="39" t="n">
        <x:v>135</x:v>
      </x:c>
      <x:c r="E132" s="39" t="n">
        <x:v>1</x:v>
      </x:c>
      <x:c r="F132" s="44" t="n">
        <x:v>1171.43</x:v>
      </x:c>
      <x:c r="G132" s="44" t="n">
        <x:v>281.51</x:v>
      </x:c>
      <x:c r="H132" s="39" t="n">
        <x:v>6</x:v>
      </x:c>
      <x:c r="I132" s="41" t="n">
        <x:v>0.05754475703324808</x:v>
      </x:c>
      <x:c r="J132" s="41" t="n">
        <x:v>0.007407407407407408</x:v>
      </x:c>
      <x:c r="K132" s="44" t="n">
        <x:v>1171.43</x:v>
      </x:c>
      <x:c r="L132" s="42" t="n">
        <x:v>0.2403131215693639</x:v>
      </x:c>
      <x:c r="M132" s="44" t="n">
        <x:v>-889.9200000000001</x:v>
      </x:c>
      <x:c r="N132" s="41" t="n">
        <x:v>-3.1612376114525245</x:v>
      </x:c>
    </x:row>
    <x:row r="133" ht="15" hidden="0" customHeight="1">
      <x:c r="A133" s="43" t="str">
        <x:v>2026-01-19</x:v>
      </x:c>
      <x:c r="B133" s="39" t="str">
        <x:v>Referral</x:v>
      </x:c>
      <x:c r="C133" s="39" t="n">
        <x:v>3158</x:v>
      </x:c>
      <x:c r="D133" s="39" t="n">
        <x:v>343</x:v>
      </x:c>
      <x:c r="E133" s="39" t="n">
        <x:v>8</x:v>
      </x:c>
      <x:c r="F133" s="44" t="n">
        <x:v>411.36</x:v>
      </x:c>
      <x:c r="G133" s="44" t="n">
        <x:v>4338.67</x:v>
      </x:c>
      <x:c r="H133" s="39" t="n">
        <x:v>6</x:v>
      </x:c>
      <x:c r="I133" s="41" t="n">
        <x:v>0.10861304623179227</x:v>
      </x:c>
      <x:c r="J133" s="41" t="n">
        <x:v>0.023323615160349854</x:v>
      </x:c>
      <x:c r="K133" s="44" t="n">
        <x:v>51.42</x:v>
      </x:c>
      <x:c r="L133" s="42" t="n">
        <x:v>10.547136328276935</x:v>
      </x:c>
      <x:c r="M133" s="44" t="n">
        <x:v>3927.31</x:v>
      </x:c>
      <x:c r="N133" s="41" t="n">
        <x:v>0.9051875344287534</x:v>
      </x:c>
    </x:row>
    <x:row r="134" ht="15" hidden="0" customHeight="1">
      <x:c r="A134" s="43" t="str">
        <x:v>2026-01-19</x:v>
      </x:c>
      <x:c r="B134" s="39" t="str">
        <x:v>SEO</x:v>
      </x:c>
      <x:c r="C134" s="39" t="n">
        <x:v>1750</x:v>
      </x:c>
      <x:c r="D134" s="39" t="n">
        <x:v>57</x:v>
      </x:c>
      <x:c r="E134" s="39" t="n">
        <x:v>1</x:v>
      </x:c>
      <x:c r="F134" s="44" t="n">
        <x:v>1340.71</x:v>
      </x:c>
      <x:c r="G134" s="44" t="n">
        <x:v>308.34</x:v>
      </x:c>
      <x:c r="H134" s="39" t="n">
        <x:v>6</x:v>
      </x:c>
      <x:c r="I134" s="41" t="n">
        <x:v>0.03257142857142857</x:v>
      </x:c>
      <x:c r="J134" s="41" t="n">
        <x:v>0.017543859649122806</x:v>
      </x:c>
      <x:c r="K134" s="44" t="n">
        <x:v>1340.71</x:v>
      </x:c>
      <x:c r="L134" s="42" t="n">
        <x:v>0.2299826211484959</x:v>
      </x:c>
      <x:c r="M134" s="44" t="n">
        <x:v>-1032.3700000000001</x:v>
      </x:c>
      <x:c r="N134" s="41" t="n">
        <x:v>-3.34815463449439</x:v>
      </x:c>
    </x:row>
    <x:row r="135" ht="15" hidden="0" customHeight="1">
      <x:c r="A135" s="43" t="str">
        <x:v>2026-01-20</x:v>
      </x:c>
      <x:c r="B135" s="39" t="str">
        <x:v>Content</x:v>
      </x:c>
      <x:c r="C135" s="39" t="n">
        <x:v>1409</x:v>
      </x:c>
      <x:c r="D135" s="39" t="n">
        <x:v>65</x:v>
      </x:c>
      <x:c r="E135" s="39" t="n">
        <x:v>0</x:v>
      </x:c>
      <x:c r="F135" s="44" t="n">
        <x:v>681.72</x:v>
      </x:c>
      <x:c r="G135" s="44" t="n">
        <x:v>0</x:v>
      </x:c>
      <x:c r="H135" s="39" t="n">
        <x:v>6</x:v>
      </x:c>
      <x:c r="I135" s="41" t="n">
        <x:v>0.046132008516678494</x:v>
      </x:c>
      <x:c r="J135" s="41" t="n">
        <x:v>0</x:v>
      </x:c>
      <x:c r="K135" s="44"/>
      <x:c r="L135" s="42" t="n">
        <x:v>0</x:v>
      </x:c>
      <x:c r="M135" s="44" t="n">
        <x:v>-681.72</x:v>
      </x:c>
      <x:c r="N135" s="41"/>
    </x:row>
    <x:row r="136" ht="15" hidden="0" customHeight="1">
      <x:c r="A136" s="43" t="str">
        <x:v>2026-01-20</x:v>
      </x:c>
      <x:c r="B136" s="39" t="str">
        <x:v>LinkedIn Ads</x:v>
      </x:c>
      <x:c r="C136" s="39" t="n">
        <x:v>2404</x:v>
      </x:c>
      <x:c r="D136" s="39" t="n">
        <x:v>113</x:v>
      </x:c>
      <x:c r="E136" s="39" t="n">
        <x:v>1</x:v>
      </x:c>
      <x:c r="F136" s="44" t="n">
        <x:v>1001.69</x:v>
      </x:c>
      <x:c r="G136" s="44" t="n">
        <x:v>270.68</x:v>
      </x:c>
      <x:c r="H136" s="39" t="n">
        <x:v>6</x:v>
      </x:c>
      <x:c r="I136" s="41" t="n">
        <x:v>0.047004991680532446</x:v>
      </x:c>
      <x:c r="J136" s="41" t="n">
        <x:v>0.008849557522123894</x:v>
      </x:c>
      <x:c r="K136" s="44" t="n">
        <x:v>1001.69</x:v>
      </x:c>
      <x:c r="L136" s="42" t="n">
        <x:v>0.2702233225848316</x:v>
      </x:c>
      <x:c r="M136" s="44" t="n">
        <x:v>-731.01</x:v>
      </x:c>
      <x:c r="N136" s="41" t="n">
        <x:v>-2.7006428254765775</x:v>
      </x:c>
    </x:row>
    <x:row r="137" ht="15" hidden="0" customHeight="1">
      <x:c r="A137" s="43" t="str">
        <x:v>2026-01-20</x:v>
      </x:c>
      <x:c r="B137" s="39" t="str">
        <x:v>Outbound Sales</x:v>
      </x:c>
      <x:c r="C137" s="39" t="n">
        <x:v>1026</x:v>
      </x:c>
      <x:c r="D137" s="39" t="n">
        <x:v>105</x:v>
      </x:c>
      <x:c r="E137" s="39" t="n">
        <x:v>0</x:v>
      </x:c>
      <x:c r="F137" s="44" t="n">
        <x:v>901</x:v>
      </x:c>
      <x:c r="G137" s="44" t="n">
        <x:v>0</x:v>
      </x:c>
      <x:c r="H137" s="39" t="n">
        <x:v>6</x:v>
      </x:c>
      <x:c r="I137" s="41" t="n">
        <x:v>0.1023391812865497</x:v>
      </x:c>
      <x:c r="J137" s="41" t="n">
        <x:v>0</x:v>
      </x:c>
      <x:c r="K137" s="44"/>
      <x:c r="L137" s="42" t="n">
        <x:v>0</x:v>
      </x:c>
      <x:c r="M137" s="44" t="n">
        <x:v>-901</x:v>
      </x:c>
      <x:c r="N137" s="41"/>
    </x:row>
    <x:row r="138" ht="15" hidden="0" customHeight="1">
      <x:c r="A138" s="43" t="str">
        <x:v>2026-01-20</x:v>
      </x:c>
      <x:c r="B138" s="39" t="str">
        <x:v>Paid Search</x:v>
      </x:c>
      <x:c r="C138" s="39" t="n">
        <x:v>2946</x:v>
      </x:c>
      <x:c r="D138" s="39" t="n">
        <x:v>167</x:v>
      </x:c>
      <x:c r="E138" s="39" t="n">
        <x:v>1</x:v>
      </x:c>
      <x:c r="F138" s="44" t="n">
        <x:v>1736.58</x:v>
      </x:c>
      <x:c r="G138" s="44" t="n">
        <x:v>255.04</x:v>
      </x:c>
      <x:c r="H138" s="39" t="n">
        <x:v>6</x:v>
      </x:c>
      <x:c r="I138" s="41" t="n">
        <x:v>0.05668703326544467</x:v>
      </x:c>
      <x:c r="J138" s="41" t="n">
        <x:v>0.005988023952095809</x:v>
      </x:c>
      <x:c r="K138" s="44" t="n">
        <x:v>1736.58</x:v>
      </x:c>
      <x:c r="L138" s="42" t="n">
        <x:v>0.1468633751396423</x:v>
      </x:c>
      <x:c r="M138" s="44" t="n">
        <x:v>-1481.54</x:v>
      </x:c>
      <x:c r="N138" s="41" t="n">
        <x:v>-5.809049560853199</x:v>
      </x:c>
    </x:row>
    <x:row r="139" ht="15" hidden="0" customHeight="1">
      <x:c r="A139" s="43" t="str">
        <x:v>2026-01-20</x:v>
      </x:c>
      <x:c r="B139" s="39" t="str">
        <x:v>Partnerships</x:v>
      </x:c>
      <x:c r="C139" s="39" t="n">
        <x:v>2522</x:v>
      </x:c>
      <x:c r="D139" s="39" t="n">
        <x:v>98</x:v>
      </x:c>
      <x:c r="E139" s="39" t="n">
        <x:v>1</x:v>
      </x:c>
      <x:c r="F139" s="44" t="n">
        <x:v>704.45</x:v>
      </x:c>
      <x:c r="G139" s="44" t="n">
        <x:v>274.99</x:v>
      </x:c>
      <x:c r="H139" s="39" t="n">
        <x:v>6</x:v>
      </x:c>
      <x:c r="I139" s="41" t="n">
        <x:v>0.03885804916732752</x:v>
      </x:c>
      <x:c r="J139" s="41" t="n">
        <x:v>0.01020408163265306</x:v>
      </x:c>
      <x:c r="K139" s="44" t="n">
        <x:v>704.45</x:v>
      </x:c>
      <x:c r="L139" s="42" t="n">
        <x:v>0.3903612747533537</x:v>
      </x:c>
      <x:c r="M139" s="44" t="n">
        <x:v>-429.46000000000004</x:v>
      </x:c>
      <x:c r="N139" s="41" t="n">
        <x:v>-1.5617295174369978</x:v>
      </x:c>
    </x:row>
    <x:row r="140" ht="15" hidden="0" customHeight="1">
      <x:c r="A140" s="43" t="str">
        <x:v>2026-01-20</x:v>
      </x:c>
      <x:c r="B140" s="39" t="str">
        <x:v>Referral</x:v>
      </x:c>
      <x:c r="C140" s="39" t="n">
        <x:v>2656</x:v>
      </x:c>
      <x:c r="D140" s="39" t="n">
        <x:v>151</x:v>
      </x:c>
      <x:c r="E140" s="39" t="n">
        <x:v>6</x:v>
      </x:c>
      <x:c r="F140" s="44" t="n">
        <x:v>292.3</x:v>
      </x:c>
      <x:c r="G140" s="44" t="n">
        <x:v>3513.34</x:v>
      </x:c>
      <x:c r="H140" s="39" t="n">
        <x:v>6</x:v>
      </x:c>
      <x:c r="I140" s="41" t="n">
        <x:v>0.056852409638554216</x:v>
      </x:c>
      <x:c r="J140" s="41" t="n">
        <x:v>0.039735099337748346</x:v>
      </x:c>
      <x:c r="K140" s="44" t="n">
        <x:v>48.71666666666667</x:v>
      </x:c>
      <x:c r="L140" s="42" t="n">
        <x:v>12.019637358877866</x:v>
      </x:c>
      <x:c r="M140" s="44" t="n">
        <x:v>3221.04</x:v>
      </x:c>
      <x:c r="N140" s="41" t="n">
        <x:v>0.9168028144159118</x:v>
      </x:c>
    </x:row>
    <x:row r="141" ht="15" hidden="0" customHeight="1">
      <x:c r="A141" s="43" t="str">
        <x:v>2026-01-20</x:v>
      </x:c>
      <x:c r="B141" s="39" t="str">
        <x:v>SEO</x:v>
      </x:c>
      <x:c r="C141" s="39" t="n">
        <x:v>1827</x:v>
      </x:c>
      <x:c r="D141" s="39" t="n">
        <x:v>82</x:v>
      </x:c>
      <x:c r="E141" s="39" t="n">
        <x:v>1</x:v>
      </x:c>
      <x:c r="F141" s="44" t="n">
        <x:v>885.8199999999999</x:v>
      </x:c>
      <x:c r="G141" s="44" t="n">
        <x:v>316.47</x:v>
      </x:c>
      <x:c r="H141" s="39" t="n">
        <x:v>6</x:v>
      </x:c>
      <x:c r="I141" s="41" t="n">
        <x:v>0.04488232074438971</x:v>
      </x:c>
      <x:c r="J141" s="41" t="n">
        <x:v>0.012195121951219513</x:v>
      </x:c>
      <x:c r="K141" s="44" t="n">
        <x:v>885.8199999999999</x:v>
      </x:c>
      <x:c r="L141" s="42" t="n">
        <x:v>0.3572621977376894</x:v>
      </x:c>
      <x:c r="M141" s="44" t="n">
        <x:v>-569.3499999999999</x:v>
      </x:c>
      <x:c r="N141" s="41" t="n">
        <x:v>-1.7990646822763607</x:v>
      </x:c>
    </x:row>
    <x:row r="142" ht="15" hidden="0" customHeight="1">
      <x:c r="A142" s="43" t="str">
        <x:v>2026-01-21</x:v>
      </x:c>
      <x:c r="B142" s="39" t="str">
        <x:v>Content</x:v>
      </x:c>
      <x:c r="C142" s="39" t="n">
        <x:v>2209</x:v>
      </x:c>
      <x:c r="D142" s="39" t="n">
        <x:v>66</x:v>
      </x:c>
      <x:c r="E142" s="39" t="n">
        <x:v>0</x:v>
      </x:c>
      <x:c r="F142" s="44" t="n">
        <x:v>879.62</x:v>
      </x:c>
      <x:c r="G142" s="44" t="n">
        <x:v>0</x:v>
      </x:c>
      <x:c r="H142" s="39" t="n">
        <x:v>6</x:v>
      </x:c>
      <x:c r="I142" s="41" t="n">
        <x:v>0.029877772747849706</x:v>
      </x:c>
      <x:c r="J142" s="41" t="n">
        <x:v>0</x:v>
      </x:c>
      <x:c r="K142" s="44"/>
      <x:c r="L142" s="42" t="n">
        <x:v>0</x:v>
      </x:c>
      <x:c r="M142" s="44" t="n">
        <x:v>-879.62</x:v>
      </x:c>
      <x:c r="N142" s="41"/>
    </x:row>
    <x:row r="143" ht="15" hidden="0" customHeight="1">
      <x:c r="A143" s="43" t="str">
        <x:v>2026-01-21</x:v>
      </x:c>
      <x:c r="B143" s="39" t="str">
        <x:v>LinkedIn Ads</x:v>
      </x:c>
      <x:c r="C143" s="39" t="n">
        <x:v>1786</x:v>
      </x:c>
      <x:c r="D143" s="39" t="n">
        <x:v>79</x:v>
      </x:c>
      <x:c r="E143" s="39" t="n">
        <x:v>0</x:v>
      </x:c>
      <x:c r="F143" s="44" t="n">
        <x:v>1167.31</x:v>
      </x:c>
      <x:c r="G143" s="44" t="n">
        <x:v>0</x:v>
      </x:c>
      <x:c r="H143" s="39" t="n">
        <x:v>6</x:v>
      </x:c>
      <x:c r="I143" s="41" t="n">
        <x:v>0.044232922732362824</x:v>
      </x:c>
      <x:c r="J143" s="41" t="n">
        <x:v>0</x:v>
      </x:c>
      <x:c r="K143" s="44"/>
      <x:c r="L143" s="42" t="n">
        <x:v>0</x:v>
      </x:c>
      <x:c r="M143" s="44" t="n">
        <x:v>-1167.31</x:v>
      </x:c>
      <x:c r="N143" s="41"/>
    </x:row>
    <x:row r="144" ht="15" hidden="0" customHeight="1">
      <x:c r="A144" s="43" t="str">
        <x:v>2026-01-21</x:v>
      </x:c>
      <x:c r="B144" s="39" t="str">
        <x:v>Outbound Sales</x:v>
      </x:c>
      <x:c r="C144" s="39" t="n">
        <x:v>3376</x:v>
      </x:c>
      <x:c r="D144" s="39" t="n">
        <x:v>154</x:v>
      </x:c>
      <x:c r="E144" s="39" t="n">
        <x:v>1</x:v>
      </x:c>
      <x:c r="F144" s="44" t="n">
        <x:v>1434.5500000000002</x:v>
      </x:c>
      <x:c r="G144" s="44" t="n">
        <x:v>820.14</x:v>
      </x:c>
      <x:c r="H144" s="39" t="n">
        <x:v>6</x:v>
      </x:c>
      <x:c r="I144" s="41" t="n">
        <x:v>0.04561611374407583</x:v>
      </x:c>
      <x:c r="J144" s="41" t="n">
        <x:v>0.006493506493506494</x:v>
      </x:c>
      <x:c r="K144" s="44" t="n">
        <x:v>1434.5500000000002</x:v>
      </x:c>
      <x:c r="L144" s="42" t="n">
        <x:v>0.5717054128472342</x:v>
      </x:c>
      <x:c r="M144" s="44" t="n">
        <x:v>-614.4100000000002</x:v>
      </x:c>
      <x:c r="N144" s="41" t="n">
        <x:v>-0.7491525837052213</x:v>
      </x:c>
    </x:row>
    <x:row r="145" ht="15" hidden="0" customHeight="1">
      <x:c r="A145" s="43" t="str">
        <x:v>2026-01-21</x:v>
      </x:c>
      <x:c r="B145" s="39" t="str">
        <x:v>Paid Search</x:v>
      </x:c>
      <x:c r="C145" s="39" t="n">
        <x:v>2718</x:v>
      </x:c>
      <x:c r="D145" s="39" t="n">
        <x:v>116</x:v>
      </x:c>
      <x:c r="E145" s="39" t="n">
        <x:v>2</x:v>
      </x:c>
      <x:c r="F145" s="44" t="n">
        <x:v>1959.12</x:v>
      </x:c>
      <x:c r="G145" s="44" t="n">
        <x:v>996.34</x:v>
      </x:c>
      <x:c r="H145" s="39" t="n">
        <x:v>6</x:v>
      </x:c>
      <x:c r="I145" s="41" t="n">
        <x:v>0.042678440029433405</x:v>
      </x:c>
      <x:c r="J145" s="41" t="n">
        <x:v>0.017241379310344827</x:v>
      </x:c>
      <x:c r="K145" s="44" t="n">
        <x:v>979.56</x:v>
      </x:c>
      <x:c r="L145" s="42" t="n">
        <x:v>0.5085650700314427</x:v>
      </x:c>
      <x:c r="M145" s="44" t="n">
        <x:v>-962.7799999999999</x:v>
      </x:c>
      <x:c r="N145" s="41" t="n">
        <x:v>-0.9663167191922435</x:v>
      </x:c>
    </x:row>
    <x:row r="146" ht="15" hidden="0" customHeight="1">
      <x:c r="A146" s="43" t="str">
        <x:v>2026-01-21</x:v>
      </x:c>
      <x:c r="B146" s="39" t="str">
        <x:v>Partnerships</x:v>
      </x:c>
      <x:c r="C146" s="39" t="n">
        <x:v>2484</x:v>
      </x:c>
      <x:c r="D146" s="39" t="n">
        <x:v>109</x:v>
      </x:c>
      <x:c r="E146" s="39" t="n">
        <x:v>1</x:v>
      </x:c>
      <x:c r="F146" s="44" t="n">
        <x:v>1001.31</x:v>
      </x:c>
      <x:c r="G146" s="44" t="n">
        <x:v>811.4</x:v>
      </x:c>
      <x:c r="H146" s="39" t="n">
        <x:v>6</x:v>
      </x:c>
      <x:c r="I146" s="41" t="n">
        <x:v>0.04388083735909823</x:v>
      </x:c>
      <x:c r="J146" s="41" t="n">
        <x:v>0.009174311926605505</x:v>
      </x:c>
      <x:c r="K146" s="44" t="n">
        <x:v>1001.31</x:v>
      </x:c>
      <x:c r="L146" s="42" t="n">
        <x:v>0.8103384566218255</x:v>
      </x:c>
      <x:c r="M146" s="44" t="n">
        <x:v>-189.90999999999997</x:v>
      </x:c>
      <x:c r="N146" s="41" t="n">
        <x:v>-0.23405225536110424</x:v>
      </x:c>
    </x:row>
    <x:row r="147" ht="15" hidden="0" customHeight="1">
      <x:c r="A147" s="43" t="str">
        <x:v>2026-01-21</x:v>
      </x:c>
      <x:c r="B147" s="39" t="str">
        <x:v>Referral</x:v>
      </x:c>
      <x:c r="C147" s="39" t="n">
        <x:v>3815</x:v>
      </x:c>
      <x:c r="D147" s="39" t="n">
        <x:v>366</x:v>
      </x:c>
      <x:c r="E147" s="39" t="n">
        <x:v>10</x:v>
      </x:c>
      <x:c r="F147" s="44" t="n">
        <x:v>515.72</x:v>
      </x:c>
      <x:c r="G147" s="44" t="n">
        <x:v>5179.2</x:v>
      </x:c>
      <x:c r="H147" s="39" t="n">
        <x:v>6</x:v>
      </x:c>
      <x:c r="I147" s="41" t="n">
        <x:v>0.09593709043250327</x:v>
      </x:c>
      <x:c r="J147" s="41" t="n">
        <x:v>0.0273224043715847</x:v>
      </x:c>
      <x:c r="K147" s="44" t="n">
        <x:v>51.572</x:v>
      </x:c>
      <x:c r="L147" s="42" t="n">
        <x:v>10.04265880710463</x:v>
      </x:c>
      <x:c r="M147" s="44" t="n">
        <x:v>4663.48</x:v>
      </x:c>
      <x:c r="N147" s="41" t="n">
        <x:v>0.9004247760271856</x:v>
      </x:c>
    </x:row>
    <x:row r="148" ht="15" hidden="0" customHeight="1">
      <x:c r="A148" s="43" t="str">
        <x:v>2026-01-21</x:v>
      </x:c>
      <x:c r="B148" s="39" t="str">
        <x:v>SEO</x:v>
      </x:c>
      <x:c r="C148" s="39" t="n">
        <x:v>2095</x:v>
      </x:c>
      <x:c r="D148" s="39" t="n">
        <x:v>86</x:v>
      </x:c>
      <x:c r="E148" s="39" t="n">
        <x:v>0</x:v>
      </x:c>
      <x:c r="F148" s="44" t="n">
        <x:v>1092.33</x:v>
      </x:c>
      <x:c r="G148" s="44" t="n">
        <x:v>0</x:v>
      </x:c>
      <x:c r="H148" s="39" t="n">
        <x:v>6</x:v>
      </x:c>
      <x:c r="I148" s="41" t="n">
        <x:v>0.04105011933174224</x:v>
      </x:c>
      <x:c r="J148" s="41" t="n">
        <x:v>0</x:v>
      </x:c>
      <x:c r="K148" s="44"/>
      <x:c r="L148" s="42" t="n">
        <x:v>0</x:v>
      </x:c>
      <x:c r="M148" s="44" t="n">
        <x:v>-1092.33</x:v>
      </x:c>
      <x:c r="N148" s="41"/>
    </x:row>
    <x:row r="149" ht="15" hidden="0" customHeight="1">
      <x:c r="A149" s="43" t="str">
        <x:v>2026-01-22</x:v>
      </x:c>
      <x:c r="B149" s="39" t="str">
        <x:v>Content</x:v>
      </x:c>
      <x:c r="C149" s="39" t="n">
        <x:v>2249</x:v>
      </x:c>
      <x:c r="D149" s="39" t="n">
        <x:v>53</x:v>
      </x:c>
      <x:c r="E149" s="39" t="n">
        <x:v>0</x:v>
      </x:c>
      <x:c r="F149" s="44" t="n">
        <x:v>966.01</x:v>
      </x:c>
      <x:c r="G149" s="44" t="n">
        <x:v>0</x:v>
      </x:c>
      <x:c r="H149" s="39" t="n">
        <x:v>6</x:v>
      </x:c>
      <x:c r="I149" s="41" t="n">
        <x:v>0.023566029346376166</x:v>
      </x:c>
      <x:c r="J149" s="41" t="n">
        <x:v>0</x:v>
      </x:c>
      <x:c r="K149" s="44"/>
      <x:c r="L149" s="42" t="n">
        <x:v>0</x:v>
      </x:c>
      <x:c r="M149" s="44" t="n">
        <x:v>-966.01</x:v>
      </x:c>
      <x:c r="N149" s="41"/>
    </x:row>
    <x:row r="150" ht="15" hidden="0" customHeight="1">
      <x:c r="A150" s="43" t="str">
        <x:v>2026-01-22</x:v>
      </x:c>
      <x:c r="B150" s="39" t="str">
        <x:v>LinkedIn Ads</x:v>
      </x:c>
      <x:c r="C150" s="39" t="n">
        <x:v>1686</x:v>
      </x:c>
      <x:c r="D150" s="39" t="n">
        <x:v>44</x:v>
      </x:c>
      <x:c r="E150" s="39" t="n">
        <x:v>0</x:v>
      </x:c>
      <x:c r="F150" s="44" t="n">
        <x:v>1312.68</x:v>
      </x:c>
      <x:c r="G150" s="44" t="n">
        <x:v>0</x:v>
      </x:c>
      <x:c r="H150" s="39" t="n">
        <x:v>6</x:v>
      </x:c>
      <x:c r="I150" s="41" t="n">
        <x:v>0.02609727164887307</x:v>
      </x:c>
      <x:c r="J150" s="41" t="n">
        <x:v>0</x:v>
      </x:c>
      <x:c r="K150" s="44"/>
      <x:c r="L150" s="42" t="n">
        <x:v>0</x:v>
      </x:c>
      <x:c r="M150" s="44" t="n">
        <x:v>-1312.68</x:v>
      </x:c>
      <x:c r="N150" s="41"/>
    </x:row>
    <x:row r="151" ht="15" hidden="0" customHeight="1">
      <x:c r="A151" s="43" t="str">
        <x:v>2026-01-22</x:v>
      </x:c>
      <x:c r="B151" s="39" t="str">
        <x:v>Outbound Sales</x:v>
      </x:c>
      <x:c r="C151" s="39" t="n">
        <x:v>2650</x:v>
      </x:c>
      <x:c r="D151" s="39" t="n">
        <x:v>168</x:v>
      </x:c>
      <x:c r="E151" s="39" t="n">
        <x:v>1</x:v>
      </x:c>
      <x:c r="F151" s="44" t="n">
        <x:v>1727.94</x:v>
      </x:c>
      <x:c r="G151" s="44" t="n">
        <x:v>721.68</x:v>
      </x:c>
      <x:c r="H151" s="39" t="n">
        <x:v>6</x:v>
      </x:c>
      <x:c r="I151" s="41" t="n">
        <x:v>0.06339622641509433</x:v>
      </x:c>
      <x:c r="J151" s="41" t="n">
        <x:v>0.005952380952380952</x:v>
      </x:c>
      <x:c r="K151" s="44" t="n">
        <x:v>1727.94</x:v>
      </x:c>
      <x:c r="L151" s="42" t="n">
        <x:v>0.41765339074273405</x:v>
      </x:c>
      <x:c r="M151" s="44" t="n">
        <x:v>-1006.2600000000001</x:v>
      </x:c>
      <x:c r="N151" s="41" t="n">
        <x:v>-1.3943298969072166</x:v>
      </x:c>
    </x:row>
    <x:row r="152" ht="15" hidden="0" customHeight="1">
      <x:c r="A152" s="43" t="str">
        <x:v>2026-01-22</x:v>
      </x:c>
      <x:c r="B152" s="39" t="str">
        <x:v>Paid Search</x:v>
      </x:c>
      <x:c r="C152" s="39" t="n">
        <x:v>2721</x:v>
      </x:c>
      <x:c r="D152" s="39" t="n">
        <x:v>238</x:v>
      </x:c>
      <x:c r="E152" s="39" t="n">
        <x:v>3</x:v>
      </x:c>
      <x:c r="F152" s="44" t="n">
        <x:v>2312.17</x:v>
      </x:c>
      <x:c r="G152" s="44" t="n">
        <x:v>1916.51</x:v>
      </x:c>
      <x:c r="H152" s="39" t="n">
        <x:v>6</x:v>
      </x:c>
      <x:c r="I152" s="41" t="n">
        <x:v>0.0874678427048879</x:v>
      </x:c>
      <x:c r="J152" s="41" t="n">
        <x:v>0.012605042016806723</x:v>
      </x:c>
      <x:c r="K152" s="44" t="n">
        <x:v>770.7233333333334</x:v>
      </x:c>
      <x:c r="L152" s="42" t="n">
        <x:v>0.8288793644065964</x:v>
      </x:c>
      <x:c r="M152" s="44" t="n">
        <x:v>-395.6600000000001</x:v>
      </x:c>
      <x:c r="N152" s="41" t="n">
        <x:v>-0.20644817924247724</x:v>
      </x:c>
    </x:row>
    <x:row r="153" ht="15" hidden="0" customHeight="1">
      <x:c r="A153" s="43" t="str">
        <x:v>2026-01-22</x:v>
      </x:c>
      <x:c r="B153" s="39" t="str">
        <x:v>Partnerships</x:v>
      </x:c>
      <x:c r="C153" s="39" t="n">
        <x:v>1931</x:v>
      </x:c>
      <x:c r="D153" s="39" t="n">
        <x:v>126</x:v>
      </x:c>
      <x:c r="E153" s="39" t="n">
        <x:v>1</x:v>
      </x:c>
      <x:c r="F153" s="44" t="n">
        <x:v>1152.43</x:v>
      </x:c>
      <x:c r="G153" s="44" t="n">
        <x:v>900.56</x:v>
      </x:c>
      <x:c r="H153" s="39" t="n">
        <x:v>6</x:v>
      </x:c>
      <x:c r="I153" s="41" t="n">
        <x:v>0.06525116519937856</x:v>
      </x:c>
      <x:c r="J153" s="41" t="n">
        <x:v>0.007936507936507936</x:v>
      </x:c>
      <x:c r="K153" s="44" t="n">
        <x:v>1152.43</x:v>
      </x:c>
      <x:c r="L153" s="42" t="n">
        <x:v>0.7814444261256648</x:v>
      </x:c>
      <x:c r="M153" s="44" t="n">
        <x:v>-251.87000000000012</x:v>
      </x:c>
      <x:c r="N153" s="41" t="n">
        <x:v>-0.27968153149151653</x:v>
      </x:c>
    </x:row>
    <x:row r="154" ht="15" hidden="0" customHeight="1">
      <x:c r="A154" s="43" t="str">
        <x:v>2026-01-22</x:v>
      </x:c>
      <x:c r="B154" s="39" t="str">
        <x:v>Referral</x:v>
      </x:c>
      <x:c r="C154" s="39" t="n">
        <x:v>3401</x:v>
      </x:c>
      <x:c r="D154" s="39" t="n">
        <x:v>350</x:v>
      </x:c>
      <x:c r="E154" s="39" t="n">
        <x:v>8</x:v>
      </x:c>
      <x:c r="F154" s="44" t="n">
        <x:v>563.15</x:v>
      </x:c>
      <x:c r="G154" s="44" t="n">
        <x:v>3687.67</x:v>
      </x:c>
      <x:c r="H154" s="39" t="n">
        <x:v>6</x:v>
      </x:c>
      <x:c r="I154" s="41" t="n">
        <x:v>0.10291090855630697</x:v>
      </x:c>
      <x:c r="J154" s="41" t="n">
        <x:v>0.022857142857142857</x:v>
      </x:c>
      <x:c r="K154" s="44" t="n">
        <x:v>70.39375</x:v>
      </x:c>
      <x:c r="L154" s="42" t="n">
        <x:v>6.548290863890616</x:v>
      </x:c>
      <x:c r="M154" s="44" t="n">
        <x:v>3124.52</x:v>
      </x:c>
      <x:c r="N154" s="41" t="n">
        <x:v>0.847288396195972</x:v>
      </x:c>
    </x:row>
    <x:row r="155" ht="15" hidden="0" customHeight="1">
      <x:c r="A155" s="43" t="str">
        <x:v>2026-01-22</x:v>
      </x:c>
      <x:c r="B155" s="39" t="str">
        <x:v>SEO</x:v>
      </x:c>
      <x:c r="C155" s="39" t="n">
        <x:v>2001</x:v>
      </x:c>
      <x:c r="D155" s="39" t="n">
        <x:v>70</x:v>
      </x:c>
      <x:c r="E155" s="39" t="n">
        <x:v>1</x:v>
      </x:c>
      <x:c r="F155" s="44" t="n">
        <x:v>1243.13</x:v>
      </x:c>
      <x:c r="G155" s="44" t="n">
        <x:v>693.57</x:v>
      </x:c>
      <x:c r="H155" s="39" t="n">
        <x:v>6</x:v>
      </x:c>
      <x:c r="I155" s="41" t="n">
        <x:v>0.03498250874562719</x:v>
      </x:c>
      <x:c r="J155" s="41" t="n">
        <x:v>0.014285714285714285</x:v>
      </x:c>
      <x:c r="K155" s="44" t="n">
        <x:v>1243.13</x:v>
      </x:c>
      <x:c r="L155" s="42" t="n">
        <x:v>0.5579223411871647</x:v>
      </x:c>
      <x:c r="M155" s="44" t="n">
        <x:v>-549.5600000000001</x:v>
      </x:c>
      <x:c r="N155" s="41" t="n">
        <x:v>-0.7923641449312975</x:v>
      </x:c>
    </x:row>
    <x:row r="156" ht="15" hidden="0" customHeight="1">
      <x:c r="A156" s="43" t="str">
        <x:v>2026-01-23</x:v>
      </x:c>
      <x:c r="B156" s="39" t="str">
        <x:v>Content</x:v>
      </x:c>
      <x:c r="C156" s="39" t="n">
        <x:v>2641</x:v>
      </x:c>
      <x:c r="D156" s="39" t="n">
        <x:v>137</x:v>
      </x:c>
      <x:c r="E156" s="39" t="n">
        <x:v>3</x:v>
      </x:c>
      <x:c r="F156" s="44" t="n">
        <x:v>1706.09</x:v>
      </x:c>
      <x:c r="G156" s="44" t="n">
        <x:v>1118.93</x:v>
      </x:c>
      <x:c r="H156" s="39" t="n">
        <x:v>6</x:v>
      </x:c>
      <x:c r="I156" s="41" t="n">
        <x:v>0.05187429004165089</x:v>
      </x:c>
      <x:c r="J156" s="41" t="n">
        <x:v>0.021897810218978103</x:v>
      </x:c>
      <x:c r="K156" s="44" t="n">
        <x:v>568.6966666666666</x:v>
      </x:c>
      <x:c r="L156" s="42" t="n">
        <x:v>0.6558446506339056</x:v>
      </x:c>
      <x:c r="M156" s="44" t="n">
        <x:v>-587.1599999999999</x:v>
      </x:c>
      <x:c r="N156" s="41" t="n">
        <x:v>-0.5247513249264921</x:v>
      </x:c>
    </x:row>
    <x:row r="157" ht="15" hidden="0" customHeight="1">
      <x:c r="A157" s="43" t="str">
        <x:v>2026-01-23</x:v>
      </x:c>
      <x:c r="B157" s="39" t="str">
        <x:v>LinkedIn Ads</x:v>
      </x:c>
      <x:c r="C157" s="39" t="n">
        <x:v>2619</x:v>
      </x:c>
      <x:c r="D157" s="39" t="n">
        <x:v>165</x:v>
      </x:c>
      <x:c r="E157" s="39" t="n">
        <x:v>3</x:v>
      </x:c>
      <x:c r="F157" s="44" t="n">
        <x:v>2440.5299999999997</x:v>
      </x:c>
      <x:c r="G157" s="44" t="n">
        <x:v>1498.1599999999999</x:v>
      </x:c>
      <x:c r="H157" s="39" t="n">
        <x:v>6</x:v>
      </x:c>
      <x:c r="I157" s="41" t="n">
        <x:v>0.06300114547537228</x:v>
      </x:c>
      <x:c r="J157" s="41" t="n">
        <x:v>0.01818181818181818</x:v>
      </x:c>
      <x:c r="K157" s="44" t="n">
        <x:v>813.5099999999999</x:v>
      </x:c>
      <x:c r="L157" s="42" t="n">
        <x:v>0.6138666601107137</x:v>
      </x:c>
      <x:c r="M157" s="44" t="n">
        <x:v>-942.3699999999999</x:v>
      </x:c>
      <x:c r="N157" s="41" t="n">
        <x:v>-0.6290182624018796</x:v>
      </x:c>
    </x:row>
    <x:row r="158" ht="15" hidden="0" customHeight="1">
      <x:c r="A158" s="43" t="str">
        <x:v>2026-01-23</x:v>
      </x:c>
      <x:c r="B158" s="39" t="str">
        <x:v>Outbound Sales</x:v>
      </x:c>
      <x:c r="C158" s="39" t="n">
        <x:v>4399</x:v>
      </x:c>
      <x:c r="D158" s="39" t="n">
        <x:v>325</x:v>
      </x:c>
      <x:c r="E158" s="39" t="n">
        <x:v>3</x:v>
      </x:c>
      <x:c r="F158" s="44" t="n">
        <x:v>1814.49</x:v>
      </x:c>
      <x:c r="G158" s="44" t="n">
        <x:v>1895.92</x:v>
      </x:c>
      <x:c r="H158" s="39" t="n">
        <x:v>6</x:v>
      </x:c>
      <x:c r="I158" s="41" t="n">
        <x:v>0.07388042736985678</x:v>
      </x:c>
      <x:c r="J158" s="41" t="n">
        <x:v>0.009230769230769232</x:v>
      </x:c>
      <x:c r="K158" s="44" t="n">
        <x:v>604.83</x:v>
      </x:c>
      <x:c r="L158" s="42" t="n">
        <x:v>1.0448776240155637</x:v>
      </x:c>
      <x:c r="M158" s="44" t="n">
        <x:v>81.43000000000006</x:v>
      </x:c>
      <x:c r="N158" s="41" t="n">
        <x:v>0.0429501244778261</x:v>
      </x:c>
    </x:row>
    <x:row r="159" ht="15" hidden="0" customHeight="1">
      <x:c r="A159" s="43" t="str">
        <x:v>2026-01-23</x:v>
      </x:c>
      <x:c r="B159" s="39" t="str">
        <x:v>Paid Search</x:v>
      </x:c>
      <x:c r="C159" s="39" t="n">
        <x:v>4335</x:v>
      </x:c>
      <x:c r="D159" s="39" t="n">
        <x:v>293</x:v>
      </x:c>
      <x:c r="E159" s="39" t="n">
        <x:v>5</x:v>
      </x:c>
      <x:c r="F159" s="44" t="n">
        <x:v>4041.04</x:v>
      </x:c>
      <x:c r="G159" s="44" t="n">
        <x:v>2373.6400000000003</x:v>
      </x:c>
      <x:c r="H159" s="39" t="n">
        <x:v>6</x:v>
      </x:c>
      <x:c r="I159" s="41" t="n">
        <x:v>0.06758938869665514</x:v>
      </x:c>
      <x:c r="J159" s="41" t="n">
        <x:v>0.017064846416382253</x:v>
      </x:c>
      <x:c r="K159" s="44" t="n">
        <x:v>808.208</x:v>
      </x:c>
      <x:c r="L159" s="42" t="n">
        <x:v>0.587383445845624</x:v>
      </x:c>
      <x:c r="M159" s="44" t="n">
        <x:v>-1667.3999999999996</x:v>
      </x:c>
      <x:c r="N159" s="41" t="n">
        <x:v>-0.7024654117726359</x:v>
      </x:c>
    </x:row>
    <x:row r="160" ht="15" hidden="0" customHeight="1">
      <x:c r="A160" s="43" t="str">
        <x:v>2026-01-23</x:v>
      </x:c>
      <x:c r="B160" s="39" t="str">
        <x:v>Partnerships</x:v>
      </x:c>
      <x:c r="C160" s="39" t="n">
        <x:v>2488</x:v>
      </x:c>
      <x:c r="D160" s="39" t="n">
        <x:v>140</x:v>
      </x:c>
      <x:c r="E160" s="39" t="n">
        <x:v>2</x:v>
      </x:c>
      <x:c r="F160" s="44" t="n">
        <x:v>1589.2</x:v>
      </x:c>
      <x:c r="G160" s="44" t="n">
        <x:v>767.62</x:v>
      </x:c>
      <x:c r="H160" s="39" t="n">
        <x:v>6</x:v>
      </x:c>
      <x:c r="I160" s="41" t="n">
        <x:v>0.05627009646302251</x:v>
      </x:c>
      <x:c r="J160" s="41" t="n">
        <x:v>0.014285714285714285</x:v>
      </x:c>
      <x:c r="K160" s="44" t="n">
        <x:v>794.6</x:v>
      </x:c>
      <x:c r="L160" s="42" t="n">
        <x:v>0.4830229046060911</x:v>
      </x:c>
      <x:c r="M160" s="44" t="n">
        <x:v>-821.58</x:v>
      </x:c>
      <x:c r="N160" s="41" t="n">
        <x:v>-1.0702951981449156</x:v>
      </x:c>
    </x:row>
    <x:row r="161" ht="15" hidden="0" customHeight="1">
      <x:c r="A161" s="43" t="str">
        <x:v>2026-01-23</x:v>
      </x:c>
      <x:c r="B161" s="39" t="str">
        <x:v>Referral</x:v>
      </x:c>
      <x:c r="C161" s="39" t="n">
        <x:v>2332</x:v>
      </x:c>
      <x:c r="D161" s="39" t="n">
        <x:v>199</x:v>
      </x:c>
      <x:c r="E161" s="39" t="n">
        <x:v>5</x:v>
      </x:c>
      <x:c r="F161" s="44" t="n">
        <x:v>781.33</x:v>
      </x:c>
      <x:c r="G161" s="44" t="n">
        <x:v>2458.9</x:v>
      </x:c>
      <x:c r="H161" s="39" t="n">
        <x:v>6</x:v>
      </x:c>
      <x:c r="I161" s="41" t="n">
        <x:v>0.08533447684391081</x:v>
      </x:c>
      <x:c r="J161" s="41" t="n">
        <x:v>0.02512562814070352</x:v>
      </x:c>
      <x:c r="K161" s="44" t="n">
        <x:v>156.26600000000002</x:v>
      </x:c>
      <x:c r="L161" s="42" t="n">
        <x:v>3.147069740058618</x:v>
      </x:c>
      <x:c r="M161" s="44" t="n">
        <x:v>1677.5700000000002</x:v>
      </x:c>
      <x:c r="N161" s="41" t="n">
        <x:v>0.6822440928870633</x:v>
      </x:c>
    </x:row>
    <x:row r="162" ht="15" hidden="0" customHeight="1">
      <x:c r="A162" s="43" t="str">
        <x:v>2026-01-23</x:v>
      </x:c>
      <x:c r="B162" s="39" t="str">
        <x:v>SEO</x:v>
      </x:c>
      <x:c r="C162" s="39" t="n">
        <x:v>2274</x:v>
      </x:c>
      <x:c r="D162" s="39" t="n">
        <x:v>141</x:v>
      </x:c>
      <x:c r="E162" s="39" t="n">
        <x:v>3</x:v>
      </x:c>
      <x:c r="F162" s="44" t="n">
        <x:v>2075.44</x:v>
      </x:c>
      <x:c r="G162" s="44" t="n">
        <x:v>1454.47</x:v>
      </x:c>
      <x:c r="H162" s="39" t="n">
        <x:v>6</x:v>
      </x:c>
      <x:c r="I162" s="41" t="n">
        <x:v>0.06200527704485488</x:v>
      </x:c>
      <x:c r="J162" s="41" t="n">
        <x:v>0.02127659574468085</x:v>
      </x:c>
      <x:c r="K162" s="44" t="n">
        <x:v>691.8133333333334</x:v>
      </x:c>
      <x:c r="L162" s="42" t="n">
        <x:v>0.7008007940484909</x:v>
      </x:c>
      <x:c r="M162" s="44" t="n">
        <x:v>-620.97</x:v>
      </x:c>
      <x:c r="N162" s="41" t="n">
        <x:v>-0.4269390224617902</x:v>
      </x:c>
    </x:row>
    <x:row r="163" ht="15" hidden="0" customHeight="1">
      <x:c r="A163" s="43" t="str">
        <x:v>2026-01-24</x:v>
      </x:c>
      <x:c r="B163" s="39" t="str">
        <x:v>Content</x:v>
      </x:c>
      <x:c r="C163" s="39" t="n">
        <x:v>1693</x:v>
      </x:c>
      <x:c r="D163" s="39" t="n">
        <x:v>73</x:v>
      </x:c>
      <x:c r="E163" s="39" t="n">
        <x:v>0</x:v>
      </x:c>
      <x:c r="F163" s="44" t="n">
        <x:v>949.32</x:v>
      </x:c>
      <x:c r="G163" s="44" t="n">
        <x:v>0</x:v>
      </x:c>
      <x:c r="H163" s="39" t="n">
        <x:v>6</x:v>
      </x:c>
      <x:c r="I163" s="41" t="n">
        <x:v>0.04311872415829888</x:v>
      </x:c>
      <x:c r="J163" s="41" t="n">
        <x:v>0</x:v>
      </x:c>
      <x:c r="K163" s="44"/>
      <x:c r="L163" s="42" t="n">
        <x:v>0</x:v>
      </x:c>
      <x:c r="M163" s="44" t="n">
        <x:v>-949.32</x:v>
      </x:c>
      <x:c r="N163" s="41"/>
    </x:row>
    <x:row r="164" ht="15" hidden="0" customHeight="1">
      <x:c r="A164" s="43" t="str">
        <x:v>2026-01-24</x:v>
      </x:c>
      <x:c r="B164" s="39" t="str">
        <x:v>LinkedIn Ads</x:v>
      </x:c>
      <x:c r="C164" s="39" t="n">
        <x:v>2255</x:v>
      </x:c>
      <x:c r="D164" s="39" t="n">
        <x:v>60</x:v>
      </x:c>
      <x:c r="E164" s="39" t="n">
        <x:v>0</x:v>
      </x:c>
      <x:c r="F164" s="44" t="n">
        <x:v>1280.0800000000002</x:v>
      </x:c>
      <x:c r="G164" s="44" t="n">
        <x:v>0</x:v>
      </x:c>
      <x:c r="H164" s="39" t="n">
        <x:v>6</x:v>
      </x:c>
      <x:c r="I164" s="41" t="n">
        <x:v>0.026607538802660754</x:v>
      </x:c>
      <x:c r="J164" s="41" t="n">
        <x:v>0</x:v>
      </x:c>
      <x:c r="K164" s="44"/>
      <x:c r="L164" s="42" t="n">
        <x:v>0</x:v>
      </x:c>
      <x:c r="M164" s="44" t="n">
        <x:v>-1280.0800000000002</x:v>
      </x:c>
      <x:c r="N164" s="41"/>
    </x:row>
    <x:row r="165" ht="15" hidden="0" customHeight="1">
      <x:c r="A165" s="43" t="str">
        <x:v>2026-01-24</x:v>
      </x:c>
      <x:c r="B165" s="39" t="str">
        <x:v>Outbound Sales</x:v>
      </x:c>
      <x:c r="C165" s="39" t="n">
        <x:v>2690</x:v>
      </x:c>
      <x:c r="D165" s="39" t="n">
        <x:v>128</x:v>
      </x:c>
      <x:c r="E165" s="39" t="n">
        <x:v>1</x:v>
      </x:c>
      <x:c r="F165" s="44" t="n">
        <x:v>1596.8400000000001</x:v>
      </x:c>
      <x:c r="G165" s="44" t="n">
        <x:v>806.3</x:v>
      </x:c>
      <x:c r="H165" s="39" t="n">
        <x:v>6</x:v>
      </x:c>
      <x:c r="I165" s="41" t="n">
        <x:v>0.04758364312267658</x:v>
      </x:c>
      <x:c r="J165" s="41" t="n">
        <x:v>0.0078125</x:v>
      </x:c>
      <x:c r="K165" s="44" t="n">
        <x:v>1596.8400000000001</x:v>
      </x:c>
      <x:c r="L165" s="42" t="n">
        <x:v>0.504934746123594</x:v>
      </x:c>
      <x:c r="M165" s="44" t="n">
        <x:v>-790.5400000000002</x:v>
      </x:c>
      <x:c r="N165" s="41" t="n">
        <x:v>-0.9804539253379638</x:v>
      </x:c>
    </x:row>
    <x:row r="166" ht="15" hidden="0" customHeight="1">
      <x:c r="A166" s="43" t="str">
        <x:v>2026-01-24</x:v>
      </x:c>
      <x:c r="B166" s="39" t="str">
        <x:v>Paid Search</x:v>
      </x:c>
      <x:c r="C166" s="39" t="n">
        <x:v>2712</x:v>
      </x:c>
      <x:c r="D166" s="39" t="n">
        <x:v>183</x:v>
      </x:c>
      <x:c r="E166" s="39" t="n">
        <x:v>3</x:v>
      </x:c>
      <x:c r="F166" s="44" t="n">
        <x:v>2249.09</x:v>
      </x:c>
      <x:c r="G166" s="44" t="n">
        <x:v>1625.41</x:v>
      </x:c>
      <x:c r="H166" s="39" t="n">
        <x:v>6</x:v>
      </x:c>
      <x:c r="I166" s="41" t="n">
        <x:v>0.06747787610619468</x:v>
      </x:c>
      <x:c r="J166" s="41" t="n">
        <x:v>0.01639344262295082</x:v>
      </x:c>
      <x:c r="K166" s="44" t="n">
        <x:v>749.6966666666667</x:v>
      </x:c>
      <x:c r="L166" s="42" t="n">
        <x:v>0.7226967351239835</x:v>
      </x:c>
      <x:c r="M166" s="44" t="n">
        <x:v>-623.6800000000001</x:v>
      </x:c>
      <x:c r="N166" s="41" t="n">
        <x:v>-0.38370626488086085</x:v>
      </x:c>
    </x:row>
    <x:row r="167" ht="15" hidden="0" customHeight="1">
      <x:c r="A167" s="43" t="str">
        <x:v>2026-01-24</x:v>
      </x:c>
      <x:c r="B167" s="39" t="str">
        <x:v>Partnerships</x:v>
      </x:c>
      <x:c r="C167" s="39" t="n">
        <x:v>2722</x:v>
      </x:c>
      <x:c r="D167" s="39" t="n">
        <x:v>172</x:v>
      </x:c>
      <x:c r="E167" s="39" t="n">
        <x:v>1</x:v>
      </x:c>
      <x:c r="F167" s="44" t="n">
        <x:v>1088.6200000000001</x:v>
      </x:c>
      <x:c r="G167" s="44" t="n">
        <x:v>708.49</x:v>
      </x:c>
      <x:c r="H167" s="39" t="n">
        <x:v>6</x:v>
      </x:c>
      <x:c r="I167" s="41" t="n">
        <x:v>0.06318883174136664</x:v>
      </x:c>
      <x:c r="J167" s="41" t="n">
        <x:v>0.005813953488372093</x:v>
      </x:c>
      <x:c r="K167" s="44" t="n">
        <x:v>1088.6200000000001</x:v>
      </x:c>
      <x:c r="L167" s="42" t="n">
        <x:v>0.6508147930407304</x:v>
      </x:c>
      <x:c r="M167" s="44" t="n">
        <x:v>-380.1300000000001</x:v>
      </x:c>
      <x:c r="N167" s="41" t="n">
        <x:v>-0.5365354486301854</x:v>
      </x:c>
    </x:row>
    <x:row r="168" ht="15" hidden="0" customHeight="1">
      <x:c r="A168" s="43" t="str">
        <x:v>2026-01-24</x:v>
      </x:c>
      <x:c r="B168" s="39" t="str">
        <x:v>Referral</x:v>
      </x:c>
      <x:c r="C168" s="39" t="n">
        <x:v>3303</x:v>
      </x:c>
      <x:c r="D168" s="39" t="n">
        <x:v>259</x:v>
      </x:c>
      <x:c r="E168" s="39" t="n">
        <x:v>8</x:v>
      </x:c>
      <x:c r="F168" s="44" t="n">
        <x:v>537.42</x:v>
      </x:c>
      <x:c r="G168" s="44" t="n">
        <x:v>4107.63</x:v>
      </x:c>
      <x:c r="H168" s="39" t="n">
        <x:v>6</x:v>
      </x:c>
      <x:c r="I168" s="41" t="n">
        <x:v>0.0784135634271874</x:v>
      </x:c>
      <x:c r="J168" s="41" t="n">
        <x:v>0.03088803088803089</x:v>
      </x:c>
      <x:c r="K168" s="44" t="n">
        <x:v>67.1775</x:v>
      </x:c>
      <x:c r="L168" s="42" t="n">
        <x:v>7.643239924081724</x:v>
      </x:c>
      <x:c r="M168" s="44" t="n">
        <x:v>3570.21</x:v>
      </x:c>
      <x:c r="N168" s="41" t="n">
        <x:v>0.8691654311610344</x:v>
      </x:c>
    </x:row>
    <x:row r="169" ht="15" hidden="0" customHeight="1">
      <x:c r="A169" s="43" t="str">
        <x:v>2026-01-24</x:v>
      </x:c>
      <x:c r="B169" s="39" t="str">
        <x:v>SEO</x:v>
      </x:c>
      <x:c r="C169" s="39" t="n">
        <x:v>2296</x:v>
      </x:c>
      <x:c r="D169" s="39" t="n">
        <x:v>132</x:v>
      </x:c>
      <x:c r="E169" s="39" t="n">
        <x:v>2</x:v>
      </x:c>
      <x:c r="F169" s="44" t="n">
        <x:v>1204.62</x:v>
      </x:c>
      <x:c r="G169" s="44" t="n">
        <x:v>1057.34</x:v>
      </x:c>
      <x:c r="H169" s="39" t="n">
        <x:v>6</x:v>
      </x:c>
      <x:c r="I169" s="41" t="n">
        <x:v>0.05749128919860627</x:v>
      </x:c>
      <x:c r="J169" s="41" t="n">
        <x:v>0.015151515151515152</x:v>
      </x:c>
      <x:c r="K169" s="44" t="n">
        <x:v>602.31</x:v>
      </x:c>
      <x:c r="L169" s="42" t="n">
        <x:v>0.8777373777622819</x:v>
      </x:c>
      <x:c r="M169" s="44" t="n">
        <x:v>-147.27999999999997</x:v>
      </x:c>
      <x:c r="N169" s="41" t="n">
        <x:v>-0.1392929426674485</x:v>
      </x:c>
    </x:row>
    <x:row r="170" ht="15" hidden="0" customHeight="1">
      <x:c r="A170" s="43" t="str">
        <x:v>2026-01-25</x:v>
      </x:c>
      <x:c r="B170" s="39" t="str">
        <x:v>Content</x:v>
      </x:c>
      <x:c r="C170" s="39" t="n">
        <x:v>1830</x:v>
      </x:c>
      <x:c r="D170" s="39" t="n">
        <x:v>143</x:v>
      </x:c>
      <x:c r="E170" s="39" t="n">
        <x:v>2</x:v>
      </x:c>
      <x:c r="F170" s="44" t="n">
        <x:v>1267.96</x:v>
      </x:c>
      <x:c r="G170" s="44" t="n">
        <x:v>835.8499999999999</x:v>
      </x:c>
      <x:c r="H170" s="39" t="n">
        <x:v>6</x:v>
      </x:c>
      <x:c r="I170" s="41" t="n">
        <x:v>0.07814207650273224</x:v>
      </x:c>
      <x:c r="J170" s="41" t="n">
        <x:v>0.013986013986013986</x:v>
      </x:c>
      <x:c r="K170" s="44" t="n">
        <x:v>633.98</x:v>
      </x:c>
      <x:c r="L170" s="42" t="n">
        <x:v>0.6592084923814631</x:v>
      </x:c>
      <x:c r="M170" s="44" t="n">
        <x:v>-432.1100000000001</x:v>
      </x:c>
      <x:c r="N170" s="41" t="n">
        <x:v>-0.5169707483400133</x:v>
      </x:c>
    </x:row>
    <x:row r="171" ht="15" hidden="0" customHeight="1">
      <x:c r="A171" s="43" t="str">
        <x:v>2026-01-25</x:v>
      </x:c>
      <x:c r="B171" s="39" t="str">
        <x:v>LinkedIn Ads</x:v>
      </x:c>
      <x:c r="C171" s="39" t="n">
        <x:v>2715</x:v>
      </x:c>
      <x:c r="D171" s="39" t="n">
        <x:v>208</x:v>
      </x:c>
      <x:c r="E171" s="39" t="n">
        <x:v>2</x:v>
      </x:c>
      <x:c r="F171" s="44" t="n">
        <x:v>1876.28</x:v>
      </x:c>
      <x:c r="G171" s="44" t="n">
        <x:v>767.85</x:v>
      </x:c>
      <x:c r="H171" s="39" t="n">
        <x:v>6</x:v>
      </x:c>
      <x:c r="I171" s="41" t="n">
        <x:v>0.07661141804788213</x:v>
      </x:c>
      <x:c r="J171" s="41" t="n">
        <x:v>0.009615384615384616</x:v>
      </x:c>
      <x:c r="K171" s="44" t="n">
        <x:v>938.14</x:v>
      </x:c>
      <x:c r="L171" s="42" t="n">
        <x:v>0.4092406250666212</x:v>
      </x:c>
      <x:c r="M171" s="44" t="n">
        <x:v>-1108.4299999999998</x:v>
      </x:c>
      <x:c r="N171" s="41" t="n">
        <x:v>-1.4435501725597444</x:v>
      </x:c>
    </x:row>
    <x:row r="172" ht="15" hidden="0" customHeight="1">
      <x:c r="A172" s="43" t="str">
        <x:v>2026-01-25</x:v>
      </x:c>
      <x:c r="B172" s="39" t="str">
        <x:v>Outbound Sales</x:v>
      </x:c>
      <x:c r="C172" s="39" t="n">
        <x:v>2130</x:v>
      </x:c>
      <x:c r="D172" s="39" t="n">
        <x:v>164</x:v>
      </x:c>
      <x:c r="E172" s="39" t="n">
        <x:v>1</x:v>
      </x:c>
      <x:c r="F172" s="44" t="n">
        <x:v>1318.21</x:v>
      </x:c>
      <x:c r="G172" s="44" t="n">
        <x:v>560.83</x:v>
      </x:c>
      <x:c r="H172" s="39" t="n">
        <x:v>6</x:v>
      </x:c>
      <x:c r="I172" s="41" t="n">
        <x:v>0.07699530516431925</x:v>
      </x:c>
      <x:c r="J172" s="41" t="n">
        <x:v>0.006097560975609756</x:v>
      </x:c>
      <x:c r="K172" s="44" t="n">
        <x:v>1318.21</x:v>
      </x:c>
      <x:c r="L172" s="42" t="n">
        <x:v>0.4254481455913701</x:v>
      </x:c>
      <x:c r="M172" s="44" t="n">
        <x:v>-757.38</x:v>
      </x:c>
      <x:c r="N172" s="41" t="n">
        <x:v>-1.3504627070591801</x:v>
      </x:c>
    </x:row>
    <x:row r="173" ht="15" hidden="0" customHeight="1">
      <x:c r="A173" s="43" t="str">
        <x:v>2026-01-25</x:v>
      </x:c>
      <x:c r="B173" s="39" t="str">
        <x:v>Paid Search</x:v>
      </x:c>
      <x:c r="C173" s="39" t="n">
        <x:v>2795</x:v>
      </x:c>
      <x:c r="D173" s="39" t="n">
        <x:v>247</x:v>
      </x:c>
      <x:c r="E173" s="39" t="n">
        <x:v>2</x:v>
      </x:c>
      <x:c r="F173" s="44" t="n">
        <x:v>3057.59</x:v>
      </x:c>
      <x:c r="G173" s="44" t="n">
        <x:v>925.05</x:v>
      </x:c>
      <x:c r="H173" s="39" t="n">
        <x:v>6</x:v>
      </x:c>
      <x:c r="I173" s="41" t="n">
        <x:v>0.08837209302325581</x:v>
      </x:c>
      <x:c r="J173" s="41" t="n">
        <x:v>0.008097165991902834</x:v>
      </x:c>
      <x:c r="K173" s="44" t="n">
        <x:v>1528.795</x:v>
      </x:c>
      <x:c r="L173" s="42" t="n">
        <x:v>0.30254219826726275</x:v>
      </x:c>
      <x:c r="M173" s="44" t="n">
        <x:v>-2132.54</x:v>
      </x:c>
      <x:c r="N173" s="41" t="n">
        <x:v>-2.3053240365385657</x:v>
      </x:c>
    </x:row>
    <x:row r="174" ht="15" hidden="0" customHeight="1">
      <x:c r="A174" s="43" t="str">
        <x:v>2026-01-25</x:v>
      </x:c>
      <x:c r="B174" s="39" t="str">
        <x:v>Partnerships</x:v>
      </x:c>
      <x:c r="C174" s="39" t="n">
        <x:v>2063</x:v>
      </x:c>
      <x:c r="D174" s="39" t="n">
        <x:v>118</x:v>
      </x:c>
      <x:c r="E174" s="39" t="n">
        <x:v>1</x:v>
      </x:c>
      <x:c r="F174" s="44" t="n">
        <x:v>1205.39</x:v>
      </x:c>
      <x:c r="G174" s="44" t="n">
        <x:v>291.72</x:v>
      </x:c>
      <x:c r="H174" s="39" t="n">
        <x:v>6</x:v>
      </x:c>
      <x:c r="I174" s="41" t="n">
        <x:v>0.057198254968492485</x:v>
      </x:c>
      <x:c r="J174" s="41" t="n">
        <x:v>0.00847457627118644</x:v>
      </x:c>
      <x:c r="K174" s="44" t="n">
        <x:v>1205.39</x:v>
      </x:c>
      <x:c r="L174" s="42" t="n">
        <x:v>0.24201295846157675</x:v>
      </x:c>
      <x:c r="M174" s="44" t="n">
        <x:v>-913.6700000000001</x:v>
      </x:c>
      <x:c r="N174" s="41" t="n">
        <x:v>-3.132010146716029</x:v>
      </x:c>
    </x:row>
    <x:row r="175" ht="15" hidden="0" customHeight="1">
      <x:c r="A175" s="43" t="str">
        <x:v>2026-01-25</x:v>
      </x:c>
      <x:c r="B175" s="39" t="str">
        <x:v>Referral</x:v>
      </x:c>
      <x:c r="C175" s="39" t="n">
        <x:v>3651</x:v>
      </x:c>
      <x:c r="D175" s="39" t="n">
        <x:v>309</x:v>
      </x:c>
      <x:c r="E175" s="39" t="n">
        <x:v>8</x:v>
      </x:c>
      <x:c r="F175" s="44" t="n">
        <x:v>564.3299999999999</x:v>
      </x:c>
      <x:c r="G175" s="44" t="n">
        <x:v>4530.92</x:v>
      </x:c>
      <x:c r="H175" s="39" t="n">
        <x:v>6</x:v>
      </x:c>
      <x:c r="I175" s="41" t="n">
        <x:v>0.08463434675431389</x:v>
      </x:c>
      <x:c r="J175" s="41" t="n">
        <x:v>0.025889967637540454</x:v>
      </x:c>
      <x:c r="K175" s="44" t="n">
        <x:v>70.54124999999999</x:v>
      </x:c>
      <x:c r="L175" s="42" t="n">
        <x:v>8.028848368862192</x:v>
      </x:c>
      <x:c r="M175" s="44" t="n">
        <x:v>3966.59</x:v>
      </x:c>
      <x:c r="N175" s="41" t="n">
        <x:v>0.8754491361577781</x:v>
      </x:c>
    </x:row>
    <x:row r="176" ht="15" hidden="0" customHeight="1">
      <x:c r="A176" s="43" t="str">
        <x:v>2026-01-25</x:v>
      </x:c>
      <x:c r="B176" s="39" t="str">
        <x:v>SEO</x:v>
      </x:c>
      <x:c r="C176" s="39" t="n">
        <x:v>1867</x:v>
      </x:c>
      <x:c r="D176" s="39" t="n">
        <x:v>126</x:v>
      </x:c>
      <x:c r="E176" s="39" t="n">
        <x:v>2</x:v>
      </x:c>
      <x:c r="F176" s="44" t="n">
        <x:v>1475.67</x:v>
      </x:c>
      <x:c r="G176" s="44" t="n">
        <x:v>853.95</x:v>
      </x:c>
      <x:c r="H176" s="39" t="n">
        <x:v>6</x:v>
      </x:c>
      <x:c r="I176" s="41" t="n">
        <x:v>0.06748794858061061</x:v>
      </x:c>
      <x:c r="J176" s="41" t="n">
        <x:v>0.015873015873015872</x:v>
      </x:c>
      <x:c r="K176" s="44" t="n">
        <x:v>737.835</x:v>
      </x:c>
      <x:c r="L176" s="42" t="n">
        <x:v>0.5786862916505723</x:v>
      </x:c>
      <x:c r="M176" s="44" t="n">
        <x:v>-621.72</x:v>
      </x:c>
      <x:c r="N176" s="41" t="n">
        <x:v>-0.7280519936764448</x:v>
      </x:c>
    </x:row>
    <x:row r="177" ht="15" hidden="0" customHeight="1">
      <x:c r="A177" s="43" t="str">
        <x:v>2026-01-26</x:v>
      </x:c>
      <x:c r="B177" s="39" t="str">
        <x:v>Content</x:v>
      </x:c>
      <x:c r="C177" s="39" t="n">
        <x:v>2325</x:v>
      </x:c>
      <x:c r="D177" s="39" t="n">
        <x:v>106</x:v>
      </x:c>
      <x:c r="E177" s="39" t="n">
        <x:v>3</x:v>
      </x:c>
      <x:c r="F177" s="44" t="n">
        <x:v>1058.38</x:v>
      </x:c>
      <x:c r="G177" s="44" t="n">
        <x:v>1053.01</x:v>
      </x:c>
      <x:c r="H177" s="39" t="n">
        <x:v>6</x:v>
      </x:c>
      <x:c r="I177" s="41" t="n">
        <x:v>0.04559139784946237</x:v>
      </x:c>
      <x:c r="J177" s="41" t="n">
        <x:v>0.02830188679245283</x:v>
      </x:c>
      <x:c r="K177" s="44" t="n">
        <x:v>352.79333333333335</x:v>
      </x:c>
      <x:c r="L177" s="42" t="n">
        <x:v>0.9949262079782307</x:v>
      </x:c>
      <x:c r="M177" s="44" t="n">
        <x:v>-5.370000000000118</x:v>
      </x:c>
      <x:c r="N177" s="41" t="n">
        <x:v>-0.005099666669832308</x:v>
      </x:c>
    </x:row>
    <x:row r="178" ht="15" hidden="0" customHeight="1">
      <x:c r="A178" s="43" t="str">
        <x:v>2026-01-26</x:v>
      </x:c>
      <x:c r="B178" s="39" t="str">
        <x:v>LinkedIn Ads</x:v>
      </x:c>
      <x:c r="C178" s="39" t="n">
        <x:v>2522</x:v>
      </x:c>
      <x:c r="D178" s="39" t="n">
        <x:v>169</x:v>
      </x:c>
      <x:c r="E178" s="39" t="n">
        <x:v>1</x:v>
      </x:c>
      <x:c r="F178" s="44" t="n">
        <x:v>1401.6</x:v>
      </x:c>
      <x:c r="G178" s="44" t="n">
        <x:v>297.85</x:v>
      </x:c>
      <x:c r="H178" s="39" t="n">
        <x:v>6</x:v>
      </x:c>
      <x:c r="I178" s="41" t="n">
        <x:v>0.06701030927835051</x:v>
      </x:c>
      <x:c r="J178" s="41" t="n">
        <x:v>0.005917159763313609</x:v>
      </x:c>
      <x:c r="K178" s="44" t="n">
        <x:v>1401.6</x:v>
      </x:c>
      <x:c r="L178" s="42" t="n">
        <x:v>0.21250713470319638</x:v>
      </x:c>
      <x:c r="M178" s="44" t="n">
        <x:v>-1103.75</x:v>
      </x:c>
      <x:c r="N178" s="41" t="n">
        <x:v>-3.7057243578982706</x:v>
      </x:c>
    </x:row>
    <x:row r="179" ht="15" hidden="0" customHeight="1">
      <x:c r="A179" s="43" t="str">
        <x:v>2026-01-26</x:v>
      </x:c>
      <x:c r="B179" s="39" t="str">
        <x:v>Outbound Sales</x:v>
      </x:c>
      <x:c r="C179" s="39" t="n">
        <x:v>2659</x:v>
      </x:c>
      <x:c r="D179" s="39" t="n">
        <x:v>167</x:v>
      </x:c>
      <x:c r="E179" s="39" t="n">
        <x:v>1</x:v>
      </x:c>
      <x:c r="F179" s="44" t="n">
        <x:v>1379.77</x:v>
      </x:c>
      <x:c r="G179" s="44" t="n">
        <x:v>302.55</x:v>
      </x:c>
      <x:c r="H179" s="39" t="n">
        <x:v>6</x:v>
      </x:c>
      <x:c r="I179" s="41" t="n">
        <x:v>0.0628055660022565</x:v>
      </x:c>
      <x:c r="J179" s="41" t="n">
        <x:v>0.005988023952095809</x:v>
      </x:c>
      <x:c r="K179" s="44" t="n">
        <x:v>1379.77</x:v>
      </x:c>
      <x:c r="L179" s="42" t="n">
        <x:v>0.2192756763808461</x:v>
      </x:c>
      <x:c r="M179" s="44" t="n">
        <x:v>-1077.22</x:v>
      </x:c>
      <x:c r="N179" s="41" t="n">
        <x:v>-3.5604693439100976</x:v>
      </x:c>
    </x:row>
    <x:row r="180" ht="15" hidden="0" customHeight="1">
      <x:c r="A180" s="43" t="str">
        <x:v>2026-01-26</x:v>
      </x:c>
      <x:c r="B180" s="39" t="str">
        <x:v>Paid Search</x:v>
      </x:c>
      <x:c r="C180" s="39" t="n">
        <x:v>2513</x:v>
      </x:c>
      <x:c r="D180" s="39" t="n">
        <x:v>191</x:v>
      </x:c>
      <x:c r="E180" s="39" t="n">
        <x:v>2</x:v>
      </x:c>
      <x:c r="F180" s="44" t="n">
        <x:v>2300.96</x:v>
      </x:c>
      <x:c r="G180" s="44" t="n">
        <x:v>544.65</x:v>
      </x:c>
      <x:c r="H180" s="39" t="n">
        <x:v>6</x:v>
      </x:c>
      <x:c r="I180" s="41" t="n">
        <x:v>0.07600477516912058</x:v>
      </x:c>
      <x:c r="J180" s="41" t="n">
        <x:v>0.010471204188481676</x:v>
      </x:c>
      <x:c r="K180" s="44" t="n">
        <x:v>1150.48</x:v>
      </x:c>
      <x:c r="L180" s="42" t="n">
        <x:v>0.23670554898824836</x:v>
      </x:c>
      <x:c r="M180" s="44" t="n">
        <x:v>-1756.31</x:v>
      </x:c>
      <x:c r="N180" s="41" t="n">
        <x:v>-3.2246580372716425</x:v>
      </x:c>
    </x:row>
    <x:row r="181" ht="15" hidden="0" customHeight="1">
      <x:c r="A181" s="43" t="str">
        <x:v>2026-01-26</x:v>
      </x:c>
      <x:c r="B181" s="39" t="str">
        <x:v>Partnerships</x:v>
      </x:c>
      <x:c r="C181" s="39" t="n">
        <x:v>2468</x:v>
      </x:c>
      <x:c r="D181" s="39" t="n">
        <x:v>127</x:v>
      </x:c>
      <x:c r="E181" s="39" t="n">
        <x:v>1</x:v>
      </x:c>
      <x:c r="F181" s="44" t="n">
        <x:v>1060.1100000000001</x:v>
      </x:c>
      <x:c r="G181" s="44" t="n">
        <x:v>256.96</x:v>
      </x:c>
      <x:c r="H181" s="39" t="n">
        <x:v>6</x:v>
      </x:c>
      <x:c r="I181" s="41" t="n">
        <x:v>0.05145867098865478</x:v>
      </x:c>
      <x:c r="J181" s="41" t="n">
        <x:v>0.007874015748031496</x:v>
      </x:c>
      <x:c r="K181" s="44" t="n">
        <x:v>1060.1100000000001</x:v>
      </x:c>
      <x:c r="L181" s="42" t="n">
        <x:v>0.24238994066653455</x:v>
      </x:c>
      <x:c r="M181" s="44" t="n">
        <x:v>-803.1500000000001</x:v>
      </x:c>
      <x:c r="N181" s="41" t="n">
        <x:v>-3.125583748443338</x:v>
      </x:c>
    </x:row>
    <x:row r="182" ht="15" hidden="0" customHeight="1">
      <x:c r="A182" s="43" t="str">
        <x:v>2026-01-26</x:v>
      </x:c>
      <x:c r="B182" s="39" t="str">
        <x:v>Referral</x:v>
      </x:c>
      <x:c r="C182" s="39" t="n">
        <x:v>3583</x:v>
      </x:c>
      <x:c r="D182" s="39" t="n">
        <x:v>367</x:v>
      </x:c>
      <x:c r="E182" s="39" t="n">
        <x:v>7</x:v>
      </x:c>
      <x:c r="F182" s="44" t="n">
        <x:v>552.85</x:v>
      </x:c>
      <x:c r="G182" s="44" t="n">
        <x:v>4260.79</x:v>
      </x:c>
      <x:c r="H182" s="39" t="n">
        <x:v>6</x:v>
      </x:c>
      <x:c r="I182" s="41" t="n">
        <x:v>0.10242813284956741</x:v>
      </x:c>
      <x:c r="J182" s="41" t="n">
        <x:v>0.01907356948228883</x:v>
      </x:c>
      <x:c r="K182" s="44" t="n">
        <x:v>78.97857142857143</x:v>
      </x:c>
      <x:c r="L182" s="42" t="n">
        <x:v>7.706954870217961</x:v>
      </x:c>
      <x:c r="M182" s="44" t="n">
        <x:v>3707.94</x:v>
      </x:c>
      <x:c r="N182" s="41" t="n">
        <x:v>0.8702470668584934</x:v>
      </x:c>
    </x:row>
    <x:row r="183" ht="15" hidden="0" customHeight="1">
      <x:c r="A183" s="43" t="str">
        <x:v>2026-01-26</x:v>
      </x:c>
      <x:c r="B183" s="39" t="str">
        <x:v>SEO</x:v>
      </x:c>
      <x:c r="C183" s="39" t="n">
        <x:v>1553</x:v>
      </x:c>
      <x:c r="D183" s="39" t="n">
        <x:v>123</x:v>
      </x:c>
      <x:c r="E183" s="39" t="n">
        <x:v>2</x:v>
      </x:c>
      <x:c r="F183" s="44" t="n">
        <x:v>1335.26</x:v>
      </x:c>
      <x:c r="G183" s="44" t="n">
        <x:v>834.3299999999999</x:v>
      </x:c>
      <x:c r="H183" s="39" t="n">
        <x:v>6</x:v>
      </x:c>
      <x:c r="I183" s="41" t="n">
        <x:v>0.07920154539600772</x:v>
      </x:c>
      <x:c r="J183" s="41" t="n">
        <x:v>0.016260162601626018</x:v>
      </x:c>
      <x:c r="K183" s="44" t="n">
        <x:v>667.63</x:v>
      </x:c>
      <x:c r="L183" s="42" t="n">
        <x:v>0.6248445995536449</x:v>
      </x:c>
      <x:c r="M183" s="44" t="n">
        <x:v>-500.93000000000006</x:v>
      </x:c>
      <x:c r="N183" s="41" t="n">
        <x:v>-0.6003979240827971</x:v>
      </x:c>
    </x:row>
    <x:row r="184" ht="15" hidden="0" customHeight="1">
      <x:c r="A184" s="43" t="str">
        <x:v>2026-01-27</x:v>
      </x:c>
      <x:c r="B184" s="39" t="str">
        <x:v>Content</x:v>
      </x:c>
      <x:c r="C184" s="39" t="n">
        <x:v>1794</x:v>
      </x:c>
      <x:c r="D184" s="39" t="n">
        <x:v>103</x:v>
      </x:c>
      <x:c r="E184" s="39" t="n">
        <x:v>1</x:v>
      </x:c>
      <x:c r="F184" s="44" t="n">
        <x:v>1123.6699999999998</x:v>
      </x:c>
      <x:c r="G184" s="44" t="n">
        <x:v>343.48</x:v>
      </x:c>
      <x:c r="H184" s="39" t="n">
        <x:v>6</x:v>
      </x:c>
      <x:c r="I184" s="41" t="n">
        <x:v>0.05741360089186176</x:v>
      </x:c>
      <x:c r="J184" s="41" t="n">
        <x:v>0.009708737864077669</x:v>
      </x:c>
      <x:c r="K184" s="44" t="n">
        <x:v>1123.6699999999998</x:v>
      </x:c>
      <x:c r="L184" s="42" t="n">
        <x:v>0.3056769336193011</x:v>
      </x:c>
      <x:c r="M184" s="44" t="n">
        <x:v>-780.1899999999998</x:v>
      </x:c>
      <x:c r="N184" s="41" t="n">
        <x:v>-2.271427739606381</x:v>
      </x:c>
    </x:row>
    <x:row r="185" ht="15" hidden="0" customHeight="1">
      <x:c r="A185" s="43" t="str">
        <x:v>2026-01-27</x:v>
      </x:c>
      <x:c r="B185" s="39" t="str">
        <x:v>LinkedIn Ads</x:v>
      </x:c>
      <x:c r="C185" s="39" t="n">
        <x:v>2402</x:v>
      </x:c>
      <x:c r="D185" s="39" t="n">
        <x:v>126</x:v>
      </x:c>
      <x:c r="E185" s="39" t="n">
        <x:v>1</x:v>
      </x:c>
      <x:c r="F185" s="44" t="n">
        <x:v>1771.44</x:v>
      </x:c>
      <x:c r="G185" s="44" t="n">
        <x:v>580.29</x:v>
      </x:c>
      <x:c r="H185" s="39" t="n">
        <x:v>6</x:v>
      </x:c>
      <x:c r="I185" s="41" t="n">
        <x:v>0.05245628642797669</x:v>
      </x:c>
      <x:c r="J185" s="41" t="n">
        <x:v>0.007936507936507936</x:v>
      </x:c>
      <x:c r="K185" s="44" t="n">
        <x:v>1771.44</x:v>
      </x:c>
      <x:c r="L185" s="42" t="n">
        <x:v>0.3275809510906381</x:v>
      </x:c>
      <x:c r="M185" s="44" t="n">
        <x:v>-1191.15</x:v>
      </x:c>
      <x:c r="N185" s="41" t="n">
        <x:v>-2.0526805562735877</x:v>
      </x:c>
    </x:row>
    <x:row r="186" ht="15" hidden="0" customHeight="1">
      <x:c r="A186" s="43" t="str">
        <x:v>2026-01-27</x:v>
      </x:c>
      <x:c r="B186" s="39" t="str">
        <x:v>Outbound Sales</x:v>
      </x:c>
      <x:c r="C186" s="39" t="n">
        <x:v>3053</x:v>
      </x:c>
      <x:c r="D186" s="39" t="n">
        <x:v>147</x:v>
      </x:c>
      <x:c r="E186" s="39" t="n">
        <x:v>1</x:v>
      </x:c>
      <x:c r="F186" s="44" t="n">
        <x:v>1377.74</x:v>
      </x:c>
      <x:c r="G186" s="44" t="n">
        <x:v>608.04</x:v>
      </x:c>
      <x:c r="H186" s="39" t="n">
        <x:v>6</x:v>
      </x:c>
      <x:c r="I186" s="41" t="n">
        <x:v>0.04814936128398297</x:v>
      </x:c>
      <x:c r="J186" s="41" t="n">
        <x:v>0.006802721088435374</x:v>
      </x:c>
      <x:c r="K186" s="44" t="n">
        <x:v>1377.74</x:v>
      </x:c>
      <x:c r="L186" s="42" t="n">
        <x:v>0.44133145586249944</x:v>
      </x:c>
      <x:c r="M186" s="44" t="n">
        <x:v>-769.7</x:v>
      </x:c>
      <x:c r="N186" s="41" t="n">
        <x:v>-1.2658706664035262</x:v>
      </x:c>
    </x:row>
    <x:row r="187" ht="15" hidden="0" customHeight="1">
      <x:c r="A187" s="43" t="str">
        <x:v>2026-01-27</x:v>
      </x:c>
      <x:c r="B187" s="39" t="str">
        <x:v>Paid Search</x:v>
      </x:c>
      <x:c r="C187" s="39" t="n">
        <x:v>2511</x:v>
      </x:c>
      <x:c r="D187" s="39" t="n">
        <x:v>135</x:v>
      </x:c>
      <x:c r="E187" s="39" t="n">
        <x:v>2</x:v>
      </x:c>
      <x:c r="F187" s="44" t="n">
        <x:v>3169.52</x:v>
      </x:c>
      <x:c r="G187" s="44" t="n">
        <x:v>1241.78</x:v>
      </x:c>
      <x:c r="H187" s="39" t="n">
        <x:v>6</x:v>
      </x:c>
      <x:c r="I187" s="41" t="n">
        <x:v>0.053763440860215055</x:v>
      </x:c>
      <x:c r="J187" s="41" t="n">
        <x:v>0.014814814814814815</x:v>
      </x:c>
      <x:c r="K187" s="44" t="n">
        <x:v>1584.76</x:v>
      </x:c>
      <x:c r="L187" s="42" t="n">
        <x:v>0.3917880309952296</x:v>
      </x:c>
      <x:c r="M187" s="44" t="n">
        <x:v>-1927.74</x:v>
      </x:c>
      <x:c r="N187" s="41" t="n">
        <x:v>-1.5524005862552144</x:v>
      </x:c>
    </x:row>
    <x:row r="188" ht="15" hidden="0" customHeight="1">
      <x:c r="A188" s="43" t="str">
        <x:v>2026-01-27</x:v>
      </x:c>
      <x:c r="B188" s="39" t="str">
        <x:v>Partnerships</x:v>
      </x:c>
      <x:c r="C188" s="39" t="n">
        <x:v>2524</x:v>
      </x:c>
      <x:c r="D188" s="39" t="n">
        <x:v>96</x:v>
      </x:c>
      <x:c r="E188" s="39" t="n">
        <x:v>0</x:v>
      </x:c>
      <x:c r="F188" s="44" t="n">
        <x:v>1143.25</x:v>
      </x:c>
      <x:c r="G188" s="44" t="n">
        <x:v>0</x:v>
      </x:c>
      <x:c r="H188" s="39" t="n">
        <x:v>6</x:v>
      </x:c>
      <x:c r="I188" s="41" t="n">
        <x:v>0.03803486529318542</x:v>
      </x:c>
      <x:c r="J188" s="41" t="n">
        <x:v>0</x:v>
      </x:c>
      <x:c r="K188" s="44"/>
      <x:c r="L188" s="42" t="n">
        <x:v>0</x:v>
      </x:c>
      <x:c r="M188" s="44" t="n">
        <x:v>-1143.25</x:v>
      </x:c>
      <x:c r="N188" s="41"/>
    </x:row>
    <x:row r="189" ht="15" hidden="0" customHeight="1">
      <x:c r="A189" s="43" t="str">
        <x:v>2026-01-27</x:v>
      </x:c>
      <x:c r="B189" s="39" t="str">
        <x:v>Referral</x:v>
      </x:c>
      <x:c r="C189" s="39" t="n">
        <x:v>3909</x:v>
      </x:c>
      <x:c r="D189" s="39" t="n">
        <x:v>428</x:v>
      </x:c>
      <x:c r="E189" s="39" t="n">
        <x:v>9</x:v>
      </x:c>
      <x:c r="F189" s="44" t="n">
        <x:v>465.12</x:v>
      </x:c>
      <x:c r="G189" s="44" t="n">
        <x:v>4495.93</x:v>
      </x:c>
      <x:c r="H189" s="39" t="n">
        <x:v>6</x:v>
      </x:c>
      <x:c r="I189" s="41" t="n">
        <x:v>0.10949091839345101</x:v>
      </x:c>
      <x:c r="J189" s="41" t="n">
        <x:v>0.02102803738317757</x:v>
      </x:c>
      <x:c r="K189" s="44" t="n">
        <x:v>51.68</x:v>
      </x:c>
      <x:c r="L189" s="42" t="n">
        <x:v>9.666172170622636</x:v>
      </x:c>
      <x:c r="M189" s="44" t="n">
        <x:v>4030.8100000000004</x:v>
      </x:c>
      <x:c r="N189" s="41" t="n">
        <x:v>0.89654643199516</x:v>
      </x:c>
    </x:row>
    <x:row r="190" ht="15" hidden="0" customHeight="1">
      <x:c r="A190" s="43" t="str">
        <x:v>2026-01-27</x:v>
      </x:c>
      <x:c r="B190" s="39" t="str">
        <x:v>SEO</x:v>
      </x:c>
      <x:c r="C190" s="39" t="n">
        <x:v>1895</x:v>
      </x:c>
      <x:c r="D190" s="39" t="n">
        <x:v>59</x:v>
      </x:c>
      <x:c r="E190" s="39" t="n">
        <x:v>1</x:v>
      </x:c>
      <x:c r="F190" s="44" t="n">
        <x:v>1333.67</x:v>
      </x:c>
      <x:c r="G190" s="44" t="n">
        <x:v>606.37</x:v>
      </x:c>
      <x:c r="H190" s="39" t="n">
        <x:v>6</x:v>
      </x:c>
      <x:c r="I190" s="41" t="n">
        <x:v>0.031134564643799472</x:v>
      </x:c>
      <x:c r="J190" s="41" t="n">
        <x:v>0.01694915254237288</x:v>
      </x:c>
      <x:c r="K190" s="44" t="n">
        <x:v>1333.67</x:v>
      </x:c>
      <x:c r="L190" s="42" t="n">
        <x:v>0.4546626976688386</x:v>
      </x:c>
      <x:c r="M190" s="44" t="n">
        <x:v>-727.3000000000001</x:v>
      </x:c>
      <x:c r="N190" s="41" t="n">
        <x:v>-1.1994326896119532</x:v>
      </x:c>
    </x:row>
    <x:row r="191" ht="15" hidden="0" customHeight="1">
      <x:c r="A191" s="43" t="str">
        <x:v>2026-01-28</x:v>
      </x:c>
      <x:c r="B191" s="39" t="str">
        <x:v>Content</x:v>
      </x:c>
      <x:c r="C191" s="39" t="n">
        <x:v>2243</x:v>
      </x:c>
      <x:c r="D191" s="39" t="n">
        <x:v>67</x:v>
      </x:c>
      <x:c r="E191" s="39" t="n">
        <x:v>1</x:v>
      </x:c>
      <x:c r="F191" s="44" t="n">
        <x:v>965.55</x:v>
      </x:c>
      <x:c r="G191" s="44" t="n">
        <x:v>347.55</x:v>
      </x:c>
      <x:c r="H191" s="39" t="n">
        <x:v>6</x:v>
      </x:c>
      <x:c r="I191" s="41" t="n">
        <x:v>0.029870708872046365</x:v>
      </x:c>
      <x:c r="J191" s="41" t="n">
        <x:v>0.014925373134328358</x:v>
      </x:c>
      <x:c r="K191" s="44" t="n">
        <x:v>965.55</x:v>
      </x:c>
      <x:c r="L191" s="42" t="n">
        <x:v>0.3599502874009632</x:v>
      </x:c>
      <x:c r="M191" s="44" t="n">
        <x:v>-618</x:v>
      </x:c>
      <x:c r="N191" s="41" t="n">
        <x:v>-1.7781614156236512</x:v>
      </x:c>
    </x:row>
    <x:row r="192" ht="15" hidden="0" customHeight="1">
      <x:c r="A192" s="43" t="str">
        <x:v>2026-01-28</x:v>
      </x:c>
      <x:c r="B192" s="39" t="str">
        <x:v>LinkedIn Ads</x:v>
      </x:c>
      <x:c r="C192" s="39" t="n">
        <x:v>2255</x:v>
      </x:c>
      <x:c r="D192" s="39" t="n">
        <x:v>58</x:v>
      </x:c>
      <x:c r="E192" s="39" t="n">
        <x:v>1</x:v>
      </x:c>
      <x:c r="F192" s="44" t="n">
        <x:v>1553.8400000000001</x:v>
      </x:c>
      <x:c r="G192" s="44" t="n">
        <x:v>379.31</x:v>
      </x:c>
      <x:c r="H192" s="39" t="n">
        <x:v>6</x:v>
      </x:c>
      <x:c r="I192" s="41" t="n">
        <x:v>0.025720620842572064</x:v>
      </x:c>
      <x:c r="J192" s="41" t="n">
        <x:v>0.017241379310344827</x:v>
      </x:c>
      <x:c r="K192" s="44" t="n">
        <x:v>1553.8400000000001</x:v>
      </x:c>
      <x:c r="L192" s="42" t="n">
        <x:v>0.24411136281727847</x:v>
      </x:c>
      <x:c r="M192" s="44" t="n">
        <x:v>-1174.5300000000002</x:v>
      </x:c>
      <x:c r="N192" s="41" t="n">
        <x:v>-3.0964909968099974</x:v>
      </x:c>
    </x:row>
    <x:row r="193" ht="15" hidden="0" customHeight="1">
      <x:c r="A193" s="43" t="str">
        <x:v>2026-01-28</x:v>
      </x:c>
      <x:c r="B193" s="39" t="str">
        <x:v>Outbound Sales</x:v>
      </x:c>
      <x:c r="C193" s="39" t="n">
        <x:v>2261</x:v>
      </x:c>
      <x:c r="D193" s="39" t="n">
        <x:v>87</x:v>
      </x:c>
      <x:c r="E193" s="39" t="n">
        <x:v>0</x:v>
      </x:c>
      <x:c r="F193" s="44" t="n">
        <x:v>1140.76</x:v>
      </x:c>
      <x:c r="G193" s="44" t="n">
        <x:v>0</x:v>
      </x:c>
      <x:c r="H193" s="39" t="n">
        <x:v>6</x:v>
      </x:c>
      <x:c r="I193" s="41" t="n">
        <x:v>0.03847854931446263</x:v>
      </x:c>
      <x:c r="J193" s="41" t="n">
        <x:v>0</x:v>
      </x:c>
      <x:c r="K193" s="44"/>
      <x:c r="L193" s="42" t="n">
        <x:v>0</x:v>
      </x:c>
      <x:c r="M193" s="44" t="n">
        <x:v>-1140.76</x:v>
      </x:c>
      <x:c r="N193" s="41"/>
    </x:row>
    <x:row r="194" ht="15" hidden="0" customHeight="1">
      <x:c r="A194" s="43" t="str">
        <x:v>2026-01-28</x:v>
      </x:c>
      <x:c r="B194" s="39" t="str">
        <x:v>Paid Search</x:v>
      </x:c>
      <x:c r="C194" s="39" t="n">
        <x:v>2769</x:v>
      </x:c>
      <x:c r="D194" s="39" t="n">
        <x:v>151</x:v>
      </x:c>
      <x:c r="E194" s="39" t="n">
        <x:v>2</x:v>
      </x:c>
      <x:c r="F194" s="44" t="n">
        <x:v>2644.09</x:v>
      </x:c>
      <x:c r="G194" s="44" t="n">
        <x:v>973.3000000000001</x:v>
      </x:c>
      <x:c r="H194" s="39" t="n">
        <x:v>6</x:v>
      </x:c>
      <x:c r="I194" s="41" t="n">
        <x:v>0.05453232213795594</x:v>
      </x:c>
      <x:c r="J194" s="41" t="n">
        <x:v>0.013245033112582781</x:v>
      </x:c>
      <x:c r="K194" s="44" t="n">
        <x:v>1322.045</x:v>
      </x:c>
      <x:c r="L194" s="42" t="n">
        <x:v>0.3681039601526423</x:v>
      </x:c>
      <x:c r="M194" s="44" t="n">
        <x:v>-1670.79</x:v>
      </x:c>
      <x:c r="N194" s="41" t="n">
        <x:v>-1.7166238569814034</x:v>
      </x:c>
    </x:row>
    <x:row r="195" ht="15" hidden="0" customHeight="1">
      <x:c r="A195" s="43" t="str">
        <x:v>2026-01-28</x:v>
      </x:c>
      <x:c r="B195" s="39" t="str">
        <x:v>Partnerships</x:v>
      </x:c>
      <x:c r="C195" s="39" t="n">
        <x:v>2616</x:v>
      </x:c>
      <x:c r="D195" s="39" t="n">
        <x:v>212</x:v>
      </x:c>
      <x:c r="E195" s="39" t="n">
        <x:v>1</x:v>
      </x:c>
      <x:c r="F195" s="44" t="n">
        <x:v>1009.8</x:v>
      </x:c>
      <x:c r="G195" s="44" t="n">
        <x:v>260.2</x:v>
      </x:c>
      <x:c r="H195" s="39" t="n">
        <x:v>6</x:v>
      </x:c>
      <x:c r="I195" s="41" t="n">
        <x:v>0.08103975535168195</x:v>
      </x:c>
      <x:c r="J195" s="41" t="n">
        <x:v>0.0047169811320754715</x:v>
      </x:c>
      <x:c r="K195" s="44" t="n">
        <x:v>1009.8</x:v>
      </x:c>
      <x:c r="L195" s="42" t="n">
        <x:v>0.2576747870865518</x:v>
      </x:c>
      <x:c r="M195" s="44" t="n">
        <x:v>-749.5999999999999</x:v>
      </x:c>
      <x:c r="N195" s="41" t="n">
        <x:v>-2.880860876249039</x:v>
      </x:c>
    </x:row>
    <x:row r="196" ht="15" hidden="0" customHeight="1">
      <x:c r="A196" s="43" t="str">
        <x:v>2026-01-28</x:v>
      </x:c>
      <x:c r="B196" s="39" t="str">
        <x:v>Referral</x:v>
      </x:c>
      <x:c r="C196" s="39" t="n">
        <x:v>3407</x:v>
      </x:c>
      <x:c r="D196" s="39" t="n">
        <x:v>229</x:v>
      </x:c>
      <x:c r="E196" s="39" t="n">
        <x:v>8</x:v>
      </x:c>
      <x:c r="F196" s="44" t="n">
        <x:v>364.07</x:v>
      </x:c>
      <x:c r="G196" s="44" t="n">
        <x:v>4395.42</x:v>
      </x:c>
      <x:c r="H196" s="39" t="n">
        <x:v>6</x:v>
      </x:c>
      <x:c r="I196" s="41" t="n">
        <x:v>0.06721455826240094</x:v>
      </x:c>
      <x:c r="J196" s="41" t="n">
        <x:v>0.034934497816593885</x:v>
      </x:c>
      <x:c r="K196" s="44" t="n">
        <x:v>45.50875</x:v>
      </x:c>
      <x:c r="L196" s="42" t="n">
        <x:v>12.073007938033895</x:v>
      </x:c>
      <x:c r="M196" s="44" t="n">
        <x:v>4031.35</x:v>
      </x:c>
      <x:c r="N196" s="41" t="n">
        <x:v>0.9171706003066828</x:v>
      </x:c>
    </x:row>
    <x:row r="197" ht="15" hidden="0" customHeight="1">
      <x:c r="A197" s="43" t="str">
        <x:v>2026-01-28</x:v>
      </x:c>
      <x:c r="B197" s="39" t="str">
        <x:v>SEO</x:v>
      </x:c>
      <x:c r="C197" s="39" t="n">
        <x:v>1675</x:v>
      </x:c>
      <x:c r="D197" s="39" t="n">
        <x:v>110</x:v>
      </x:c>
      <x:c r="E197" s="39" t="n">
        <x:v>1</x:v>
      </x:c>
      <x:c r="F197" s="44" t="n">
        <x:v>1088.76</x:v>
      </x:c>
      <x:c r="G197" s="44" t="n">
        <x:v>351.32</x:v>
      </x:c>
      <x:c r="H197" s="39" t="n">
        <x:v>6</x:v>
      </x:c>
      <x:c r="I197" s="41" t="n">
        <x:v>0.06567164179104477</x:v>
      </x:c>
      <x:c r="J197" s="41" t="n">
        <x:v>0.00909090909090909</x:v>
      </x:c>
      <x:c r="K197" s="44" t="n">
        <x:v>1088.76</x:v>
      </x:c>
      <x:c r="L197" s="42" t="n">
        <x:v>0.3226790109849737</x:v>
      </x:c>
      <x:c r="M197" s="44" t="n">
        <x:v>-737.44</x:v>
      </x:c>
      <x:c r="N197" s="41" t="n">
        <x:v>-2.09905499259934</x:v>
      </x:c>
    </x:row>
    <x:row r="198" ht="15" hidden="0" customHeight="1">
      <x:c r="A198" s="43" t="str">
        <x:v>2026-01-29</x:v>
      </x:c>
      <x:c r="B198" s="39" t="str">
        <x:v>Content</x:v>
      </x:c>
      <x:c r="C198" s="39" t="n">
        <x:v>1494</x:v>
      </x:c>
      <x:c r="D198" s="39" t="n">
        <x:v>97</x:v>
      </x:c>
      <x:c r="E198" s="39" t="n">
        <x:v>3</x:v>
      </x:c>
      <x:c r="F198" s="44" t="n">
        <x:v>1354.8600000000001</x:v>
      </x:c>
      <x:c r="G198" s="44" t="n">
        <x:v>1476.3899999999999</x:v>
      </x:c>
      <x:c r="H198" s="39" t="n">
        <x:v>6</x:v>
      </x:c>
      <x:c r="I198" s="41" t="n">
        <x:v>0.06492637215528782</x:v>
      </x:c>
      <x:c r="J198" s="41" t="n">
        <x:v>0.030927835051546393</x:v>
      </x:c>
      <x:c r="K198" s="44" t="n">
        <x:v>451.62000000000006</x:v>
      </x:c>
      <x:c r="L198" s="42" t="n">
        <x:v>1.0896993047252113</x:v>
      </x:c>
      <x:c r="M198" s="44" t="n">
        <x:v>121.52999999999975</x:v>
      </x:c>
      <x:c r="N198" s="41" t="n">
        <x:v>0.08231564830430967</x:v>
      </x:c>
    </x:row>
    <x:row r="199" ht="15" hidden="0" customHeight="1">
      <x:c r="A199" s="43" t="str">
        <x:v>2026-01-29</x:v>
      </x:c>
      <x:c r="B199" s="39" t="str">
        <x:v>LinkedIn Ads</x:v>
      </x:c>
      <x:c r="C199" s="39" t="n">
        <x:v>2623</x:v>
      </x:c>
      <x:c r="D199" s="39" t="n">
        <x:v>115</x:v>
      </x:c>
      <x:c r="E199" s="39" t="n">
        <x:v>2</x:v>
      </x:c>
      <x:c r="F199" s="44" t="n">
        <x:v>2126.8900000000003</x:v>
      </x:c>
      <x:c r="G199" s="44" t="n">
        <x:v>910.35</x:v>
      </x:c>
      <x:c r="H199" s="39" t="n">
        <x:v>6</x:v>
      </x:c>
      <x:c r="I199" s="41" t="n">
        <x:v>0.04384292794510103</x:v>
      </x:c>
      <x:c r="J199" s="41" t="n">
        <x:v>0.017391304347826087</x:v>
      </x:c>
      <x:c r="K199" s="44" t="n">
        <x:v>1063.4450000000002</x:v>
      </x:c>
      <x:c r="L199" s="42" t="n">
        <x:v>0.4280193145860857</x:v>
      </x:c>
      <x:c r="M199" s="44" t="n">
        <x:v>-1216.5400000000004</x:v>
      </x:c>
      <x:c r="N199" s="41" t="n">
        <x:v>-1.3363431647168675</x:v>
      </x:c>
    </x:row>
    <x:row r="200" ht="15" hidden="0" customHeight="1">
      <x:c r="A200" s="43" t="str">
        <x:v>2026-01-29</x:v>
      </x:c>
      <x:c r="B200" s="39" t="str">
        <x:v>Outbound Sales</x:v>
      </x:c>
      <x:c r="C200" s="39" t="n">
        <x:v>2884</x:v>
      </x:c>
      <x:c r="D200" s="39" t="n">
        <x:v>134</x:v>
      </x:c>
      <x:c r="E200" s="39" t="n">
        <x:v>1</x:v>
      </x:c>
      <x:c r="F200" s="44" t="n">
        <x:v>1172.19</x:v>
      </x:c>
      <x:c r="G200" s="44" t="n">
        <x:v>330.04</x:v>
      </x:c>
      <x:c r="H200" s="39" t="n">
        <x:v>6</x:v>
      </x:c>
      <x:c r="I200" s="41" t="n">
        <x:v>0.046463245492371706</x:v>
      </x:c>
      <x:c r="J200" s="41" t="n">
        <x:v>0.007462686567164179</x:v>
      </x:c>
      <x:c r="K200" s="44" t="n">
        <x:v>1172.19</x:v>
      </x:c>
      <x:c r="L200" s="42" t="n">
        <x:v>0.28155845042185995</x:v>
      </x:c>
      <x:c r="M200" s="44" t="n">
        <x:v>-842.1500000000001</x:v>
      </x:c>
      <x:c r="N200" s="41" t="n">
        <x:v>-2.5516604047994185</x:v>
      </x:c>
    </x:row>
    <x:row r="201" ht="15" hidden="0" customHeight="1">
      <x:c r="A201" s="43" t="str">
        <x:v>2026-01-29</x:v>
      </x:c>
      <x:c r="B201" s="39" t="str">
        <x:v>Paid Search</x:v>
      </x:c>
      <x:c r="C201" s="39" t="n">
        <x:v>4253</x:v>
      </x:c>
      <x:c r="D201" s="39" t="n">
        <x:v>251</x:v>
      </x:c>
      <x:c r="E201" s="39" t="n">
        <x:v>4</x:v>
      </x:c>
      <x:c r="F201" s="44" t="n">
        <x:v>3581.55</x:v>
      </x:c>
      <x:c r="G201" s="44" t="n">
        <x:v>1946.6899999999998</x:v>
      </x:c>
      <x:c r="H201" s="39" t="n">
        <x:v>6</x:v>
      </x:c>
      <x:c r="I201" s="41" t="n">
        <x:v>0.05901716435457324</x:v>
      </x:c>
      <x:c r="J201" s="41" t="n">
        <x:v>0.01593625498007968</x:v>
      </x:c>
      <x:c r="K201" s="44" t="n">
        <x:v>895.3875</x:v>
      </x:c>
      <x:c r="L201" s="42" t="n">
        <x:v>0.5435328279655456</x:v>
      </x:c>
      <x:c r="M201" s="44" t="n">
        <x:v>-1634.8600000000004</x:v>
      </x:c>
      <x:c r="N201" s="41" t="n">
        <x:v>-0.8398152761867583</x:v>
      </x:c>
    </x:row>
    <x:row r="202" ht="15" hidden="0" customHeight="1">
      <x:c r="A202" s="43" t="str">
        <x:v>2026-01-29</x:v>
      </x:c>
      <x:c r="B202" s="39" t="str">
        <x:v>Partnerships</x:v>
      </x:c>
      <x:c r="C202" s="39" t="n">
        <x:v>2947</x:v>
      </x:c>
      <x:c r="D202" s="39" t="n">
        <x:v>122</x:v>
      </x:c>
      <x:c r="E202" s="39" t="n">
        <x:v>1</x:v>
      </x:c>
      <x:c r="F202" s="44" t="n">
        <x:v>1215.09</x:v>
      </x:c>
      <x:c r="G202" s="44" t="n">
        <x:v>632.99</x:v>
      </x:c>
      <x:c r="H202" s="39" t="n">
        <x:v>6</x:v>
      </x:c>
      <x:c r="I202" s="41" t="n">
        <x:v>0.041398031896844247</x:v>
      </x:c>
      <x:c r="J202" s="41" t="n">
        <x:v>0.00819672131147541</x:v>
      </x:c>
      <x:c r="K202" s="44" t="n">
        <x:v>1215.09</x:v>
      </x:c>
      <x:c r="L202" s="42" t="n">
        <x:v>0.520940835658264</x:v>
      </x:c>
      <x:c r="M202" s="44" t="n">
        <x:v>-582.0999999999999</x:v>
      </x:c>
      <x:c r="N202" s="41" t="n">
        <x:v>-0.9196037852098767</x:v>
      </x:c>
    </x:row>
    <x:row r="203" ht="15" hidden="0" customHeight="1">
      <x:c r="A203" s="43" t="str">
        <x:v>2026-01-29</x:v>
      </x:c>
      <x:c r="B203" s="39" t="str">
        <x:v>Referral</x:v>
      </x:c>
      <x:c r="C203" s="39" t="n">
        <x:v>1914</x:v>
      </x:c>
      <x:c r="D203" s="39" t="n">
        <x:v>212</x:v>
      </x:c>
      <x:c r="E203" s="39" t="n">
        <x:v>4</x:v>
      </x:c>
      <x:c r="F203" s="44" t="n">
        <x:v>514.79</x:v>
      </x:c>
      <x:c r="G203" s="44" t="n">
        <x:v>2004.69</x:v>
      </x:c>
      <x:c r="H203" s="39" t="n">
        <x:v>6</x:v>
      </x:c>
      <x:c r="I203" s="41" t="n">
        <x:v>0.11076280041797283</x:v>
      </x:c>
      <x:c r="J203" s="41" t="n">
        <x:v>0.018867924528301886</x:v>
      </x:c>
      <x:c r="K203" s="44" t="n">
        <x:v>128.6975</x:v>
      </x:c>
      <x:c r="L203" s="42" t="n">
        <x:v>3.894189863827969</x:v>
      </x:c>
      <x:c r="M203" s="44" t="n">
        <x:v>1489.9</x:v>
      </x:c>
      <x:c r="N203" s="41" t="n">
        <x:v>0.7432071791648585</x:v>
      </x:c>
    </x:row>
    <x:row r="204" ht="15" hidden="0" customHeight="1">
      <x:c r="A204" s="43" t="str">
        <x:v>2026-01-29</x:v>
      </x:c>
      <x:c r="B204" s="39" t="str">
        <x:v>SEO</x:v>
      </x:c>
      <x:c r="C204" s="39" t="n">
        <x:v>2423</x:v>
      </x:c>
      <x:c r="D204" s="39" t="n">
        <x:v>139</x:v>
      </x:c>
      <x:c r="E204" s="39" t="n">
        <x:v>4</x:v>
      </x:c>
      <x:c r="F204" s="44" t="n">
        <x:v>1488.79</x:v>
      </x:c>
      <x:c r="G204" s="44" t="n">
        <x:v>1885.59</x:v>
      </x:c>
      <x:c r="H204" s="39" t="n">
        <x:v>6</x:v>
      </x:c>
      <x:c r="I204" s="41" t="n">
        <x:v>0.05736690053652497</x:v>
      </x:c>
      <x:c r="J204" s="41" t="n">
        <x:v>0.02877697841726619</x:v>
      </x:c>
      <x:c r="K204" s="44" t="n">
        <x:v>372.1975</x:v>
      </x:c>
      <x:c r="L204" s="42" t="n">
        <x:v>1.2665251647310902</x:v>
      </x:c>
      <x:c r="M204" s="44" t="n">
        <x:v>396.79999999999995</x:v>
      </x:c>
      <x:c r="N204" s="41" t="n">
        <x:v>0.21043811220891073</x:v>
      </x:c>
    </x:row>
    <x:row r="205" ht="15" hidden="0" customHeight="1">
      <x:c r="A205" s="43" t="str">
        <x:v>2026-01-30</x:v>
      </x:c>
      <x:c r="B205" s="39" t="str">
        <x:v>Content</x:v>
      </x:c>
      <x:c r="C205" s="39" t="n">
        <x:v>2063</x:v>
      </x:c>
      <x:c r="D205" s="39" t="n">
        <x:v>55</x:v>
      </x:c>
      <x:c r="E205" s="39" t="n">
        <x:v>0</x:v>
      </x:c>
      <x:c r="F205" s="44" t="n">
        <x:v>573.76</x:v>
      </x:c>
      <x:c r="G205" s="44" t="n">
        <x:v>0</x:v>
      </x:c>
      <x:c r="H205" s="39" t="n">
        <x:v>6</x:v>
      </x:c>
      <x:c r="I205" s="41" t="n">
        <x:v>0.02666020358700921</x:v>
      </x:c>
      <x:c r="J205" s="41" t="n">
        <x:v>0</x:v>
      </x:c>
      <x:c r="K205" s="44"/>
      <x:c r="L205" s="42" t="n">
        <x:v>0</x:v>
      </x:c>
      <x:c r="M205" s="44" t="n">
        <x:v>-573.76</x:v>
      </x:c>
      <x:c r="N205" s="41"/>
    </x:row>
    <x:row r="206" ht="15" hidden="0" customHeight="1">
      <x:c r="A206" s="43" t="str">
        <x:v>2026-01-30</x:v>
      </x:c>
      <x:c r="B206" s="39" t="str">
        <x:v>LinkedIn Ads</x:v>
      </x:c>
      <x:c r="C206" s="39" t="n">
        <x:v>2689</x:v>
      </x:c>
      <x:c r="D206" s="39" t="n">
        <x:v>135</x:v>
      </x:c>
      <x:c r="E206" s="39" t="n">
        <x:v>1</x:v>
      </x:c>
      <x:c r="F206" s="44" t="n">
        <x:v>866.03</x:v>
      </x:c>
      <x:c r="G206" s="44" t="n">
        <x:v>347.19</x:v>
      </x:c>
      <x:c r="H206" s="39" t="n">
        <x:v>6</x:v>
      </x:c>
      <x:c r="I206" s="41" t="n">
        <x:v>0.050204537002603196</x:v>
      </x:c>
      <x:c r="J206" s="41" t="n">
        <x:v>0.007407407407407408</x:v>
      </x:c>
      <x:c r="K206" s="44" t="n">
        <x:v>866.03</x:v>
      </x:c>
      <x:c r="L206" s="42" t="n">
        <x:v>0.4008983522510768</x:v>
      </x:c>
      <x:c r="M206" s="44" t="n">
        <x:v>-518.8399999999999</x:v>
      </x:c>
      <x:c r="N206" s="41" t="n">
        <x:v>-1.4943978801232751</x:v>
      </x:c>
    </x:row>
    <x:row r="207" ht="15" hidden="0" customHeight="1">
      <x:c r="A207" s="43" t="str">
        <x:v>2026-01-30</x:v>
      </x:c>
      <x:c r="B207" s="39" t="str">
        <x:v>Outbound Sales</x:v>
      </x:c>
      <x:c r="C207" s="39" t="n">
        <x:v>1807</x:v>
      </x:c>
      <x:c r="D207" s="39" t="n">
        <x:v>62</x:v>
      </x:c>
      <x:c r="E207" s="39" t="n">
        <x:v>0</x:v>
      </x:c>
      <x:c r="F207" s="44" t="n">
        <x:v>745.06</x:v>
      </x:c>
      <x:c r="G207" s="44" t="n">
        <x:v>0</x:v>
      </x:c>
      <x:c r="H207" s="39" t="n">
        <x:v>6</x:v>
      </x:c>
      <x:c r="I207" s="41" t="n">
        <x:v>0.03431101272827892</x:v>
      </x:c>
      <x:c r="J207" s="41" t="n">
        <x:v>0</x:v>
      </x:c>
      <x:c r="K207" s="44"/>
      <x:c r="L207" s="42" t="n">
        <x:v>0</x:v>
      </x:c>
      <x:c r="M207" s="44" t="n">
        <x:v>-745.06</x:v>
      </x:c>
      <x:c r="N207" s="41"/>
    </x:row>
    <x:row r="208" ht="15" hidden="0" customHeight="1">
      <x:c r="A208" s="43" t="str">
        <x:v>2026-01-30</x:v>
      </x:c>
      <x:c r="B208" s="39" t="str">
        <x:v>Paid Search</x:v>
      </x:c>
      <x:c r="C208" s="39" t="n">
        <x:v>2303</x:v>
      </x:c>
      <x:c r="D208" s="39" t="n">
        <x:v>120</x:v>
      </x:c>
      <x:c r="E208" s="39" t="n">
        <x:v>1</x:v>
      </x:c>
      <x:c r="F208" s="44" t="n">
        <x:v>1447.98</x:v>
      </x:c>
      <x:c r="G208" s="44" t="n">
        <x:v>334.46</x:v>
      </x:c>
      <x:c r="H208" s="39" t="n">
        <x:v>6</x:v>
      </x:c>
      <x:c r="I208" s="41" t="n">
        <x:v>0.052105948762483714</x:v>
      </x:c>
      <x:c r="J208" s="41" t="n">
        <x:v>0.008333333333333333</x:v>
      </x:c>
      <x:c r="K208" s="44" t="n">
        <x:v>1447.98</x:v>
      </x:c>
      <x:c r="L208" s="42" t="n">
        <x:v>0.23098385336814042</x:v>
      </x:c>
      <x:c r="M208" s="44" t="n">
        <x:v>-1113.52</x:v>
      </x:c>
      <x:c r="N208" s="41" t="n">
        <x:v>-3.3293069425342345</x:v>
      </x:c>
    </x:row>
    <x:row r="209" ht="15" hidden="0" customHeight="1">
      <x:c r="A209" s="43" t="str">
        <x:v>2026-01-30</x:v>
      </x:c>
      <x:c r="B209" s="39" t="str">
        <x:v>Partnerships</x:v>
      </x:c>
      <x:c r="C209" s="39" t="n">
        <x:v>2524</x:v>
      </x:c>
      <x:c r="D209" s="39" t="n">
        <x:v>186</x:v>
      </x:c>
      <x:c r="E209" s="39" t="n">
        <x:v>1</x:v>
      </x:c>
      <x:c r="F209" s="44" t="n">
        <x:v>609.1700000000001</x:v>
      </x:c>
      <x:c r="G209" s="44" t="n">
        <x:v>301.81</x:v>
      </x:c>
      <x:c r="H209" s="39" t="n">
        <x:v>6</x:v>
      </x:c>
      <x:c r="I209" s="41" t="n">
        <x:v>0.07369255150554675</x:v>
      </x:c>
      <x:c r="J209" s="41" t="n">
        <x:v>0.005376344086021506</x:v>
      </x:c>
      <x:c r="K209" s="44" t="n">
        <x:v>609.1700000000001</x:v>
      </x:c>
      <x:c r="L209" s="42" t="n">
        <x:v>0.49544462137006084</x:v>
      </x:c>
      <x:c r="M209" s="44" t="n">
        <x:v>-307.36000000000007</x:v>
      </x:c>
      <x:c r="N209" s="41" t="n">
        <x:v>-1.0183890527152846</x:v>
      </x:c>
    </x:row>
    <x:row r="210" ht="15" hidden="0" customHeight="1">
      <x:c r="A210" s="43" t="str">
        <x:v>2026-01-30</x:v>
      </x:c>
      <x:c r="B210" s="39" t="str">
        <x:v>Referral</x:v>
      </x:c>
      <x:c r="C210" s="39" t="n">
        <x:v>2354</x:v>
      </x:c>
      <x:c r="D210" s="39" t="n">
        <x:v>210</x:v>
      </x:c>
      <x:c r="E210" s="39" t="n">
        <x:v>5</x:v>
      </x:c>
      <x:c r="F210" s="44" t="n">
        <x:v>231.61</x:v>
      </x:c>
      <x:c r="G210" s="44" t="n">
        <x:v>2821.31</x:v>
      </x:c>
      <x:c r="H210" s="39" t="n">
        <x:v>6</x:v>
      </x:c>
      <x:c r="I210" s="41" t="n">
        <x:v>0.08920985556499575</x:v>
      </x:c>
      <x:c r="J210" s="41" t="n">
        <x:v>0.023809523809523808</x:v>
      </x:c>
      <x:c r="K210" s="44" t="n">
        <x:v>46.322</x:v>
      </x:c>
      <x:c r="L210" s="42" t="n">
        <x:v>12.181296144380639</x:v>
      </x:c>
      <x:c r="M210" s="44" t="n">
        <x:v>2589.7</x:v>
      </x:c>
      <x:c r="N210" s="41" t="n">
        <x:v>0.9179069297595798</x:v>
      </x:c>
    </x:row>
    <x:row r="211" ht="15" hidden="0" customHeight="1">
      <x:c r="A211" s="43" t="str">
        <x:v>2026-01-30</x:v>
      </x:c>
      <x:c r="B211" s="39" t="str">
        <x:v>SEO</x:v>
      </x:c>
      <x:c r="C211" s="39" t="n">
        <x:v>2060</x:v>
      </x:c>
      <x:c r="D211" s="39" t="n">
        <x:v>89</x:v>
      </x:c>
      <x:c r="E211" s="39" t="n">
        <x:v>1</x:v>
      </x:c>
      <x:c r="F211" s="44" t="n">
        <x:v>717</x:v>
      </x:c>
      <x:c r="G211" s="44" t="n">
        <x:v>275.31</x:v>
      </x:c>
      <x:c r="H211" s="39" t="n">
        <x:v>6</x:v>
      </x:c>
      <x:c r="I211" s="41" t="n">
        <x:v>0.04320388349514563</x:v>
      </x:c>
      <x:c r="J211" s="41" t="n">
        <x:v>0.011235955056179775</x:v>
      </x:c>
      <x:c r="K211" s="44" t="n">
        <x:v>717</x:v>
      </x:c>
      <x:c r="L211" s="42" t="n">
        <x:v>0.3839748953974895</x:v>
      </x:c>
      <x:c r="M211" s="44" t="n">
        <x:v>-441.69</x:v>
      </x:c>
      <x:c r="N211" s="41" t="n">
        <x:v>-1.604336929279721</x:v>
      </x:c>
    </x:row>
    <x:row r="212" ht="15" hidden="0" customHeight="1">
      <x:c r="A212" s="43" t="str">
        <x:v>2026-01-31</x:v>
      </x:c>
      <x:c r="B212" s="39" t="str">
        <x:v>Content</x:v>
      </x:c>
      <x:c r="C212" s="39" t="n">
        <x:v>2446</x:v>
      </x:c>
      <x:c r="D212" s="39" t="n">
        <x:v>122</x:v>
      </x:c>
      <x:c r="E212" s="39" t="n">
        <x:v>1</x:v>
      </x:c>
      <x:c r="F212" s="44" t="n">
        <x:v>830.99</x:v>
      </x:c>
      <x:c r="G212" s="44" t="n">
        <x:v>327.74</x:v>
      </x:c>
      <x:c r="H212" s="39" t="n">
        <x:v>6</x:v>
      </x:c>
      <x:c r="I212" s="41" t="n">
        <x:v>0.04987735077677841</x:v>
      </x:c>
      <x:c r="J212" s="41" t="n">
        <x:v>0.00819672131147541</x:v>
      </x:c>
      <x:c r="K212" s="44" t="n">
        <x:v>830.99</x:v>
      </x:c>
      <x:c r="L212" s="42" t="n">
        <x:v>0.39439704448910334</x:v>
      </x:c>
      <x:c r="M212" s="44" t="n">
        <x:v>-503.25</x:v>
      </x:c>
      <x:c r="N212" s="41" t="n">
        <x:v>-1.5355159577714041</x:v>
      </x:c>
    </x:row>
    <x:row r="213" ht="15" hidden="0" customHeight="1">
      <x:c r="A213" s="43" t="str">
        <x:v>2026-01-31</x:v>
      </x:c>
      <x:c r="B213" s="39" t="str">
        <x:v>LinkedIn Ads</x:v>
      </x:c>
      <x:c r="C213" s="39" t="n">
        <x:v>2807</x:v>
      </x:c>
      <x:c r="D213" s="39" t="n">
        <x:v>147</x:v>
      </x:c>
      <x:c r="E213" s="39" t="n">
        <x:v>1</x:v>
      </x:c>
      <x:c r="F213" s="44" t="n">
        <x:v>1130.95</x:v>
      </x:c>
      <x:c r="G213" s="44" t="n">
        <x:v>345.27</x:v>
      </x:c>
      <x:c r="H213" s="39" t="n">
        <x:v>6</x:v>
      </x:c>
      <x:c r="I213" s="41" t="n">
        <x:v>0.05236907730673317</x:v>
      </x:c>
      <x:c r="J213" s="41" t="n">
        <x:v>0.006802721088435374</x:v>
      </x:c>
      <x:c r="K213" s="44" t="n">
        <x:v>1130.95</x:v>
      </x:c>
      <x:c r="L213" s="42" t="n">
        <x:v>0.30529201114107607</x:v>
      </x:c>
      <x:c r="M213" s="44" t="n">
        <x:v>-785.6800000000001</x:v>
      </x:c>
      <x:c r="N213" s="41" t="n">
        <x:v>-2.275552466185884</x:v>
      </x:c>
    </x:row>
    <x:row r="214" ht="15" hidden="0" customHeight="1">
      <x:c r="A214" s="43" t="str">
        <x:v>2026-01-31</x:v>
      </x:c>
      <x:c r="B214" s="39" t="str">
        <x:v>Outbound Sales</x:v>
      </x:c>
      <x:c r="C214" s="39" t="n">
        <x:v>1196</x:v>
      </x:c>
      <x:c r="D214" s="39" t="n">
        <x:v>45</x:v>
      </x:c>
      <x:c r="E214" s="39" t="n">
        <x:v>0</x:v>
      </x:c>
      <x:c r="F214" s="44" t="n">
        <x:v>1070.44</x:v>
      </x:c>
      <x:c r="G214" s="44" t="n">
        <x:v>0</x:v>
      </x:c>
      <x:c r="H214" s="39" t="n">
        <x:v>6</x:v>
      </x:c>
      <x:c r="I214" s="41" t="n">
        <x:v>0.03762541806020067</x:v>
      </x:c>
      <x:c r="J214" s="41" t="n">
        <x:v>0</x:v>
      </x:c>
      <x:c r="K214" s="44"/>
      <x:c r="L214" s="42" t="n">
        <x:v>0</x:v>
      </x:c>
      <x:c r="M214" s="44" t="n">
        <x:v>-1070.44</x:v>
      </x:c>
      <x:c r="N214" s="41"/>
    </x:row>
    <x:row r="215" ht="15" hidden="0" customHeight="1">
      <x:c r="A215" s="43" t="str">
        <x:v>2026-01-31</x:v>
      </x:c>
      <x:c r="B215" s="39" t="str">
        <x:v>Paid Search</x:v>
      </x:c>
      <x:c r="C215" s="39" t="n">
        <x:v>2738</x:v>
      </x:c>
      <x:c r="D215" s="39" t="n">
        <x:v>164</x:v>
      </x:c>
      <x:c r="E215" s="39" t="n">
        <x:v>3</x:v>
      </x:c>
      <x:c r="F215" s="44" t="n">
        <x:v>2006.24</x:v>
      </x:c>
      <x:c r="G215" s="44" t="n">
        <x:v>1149.21</x:v>
      </x:c>
      <x:c r="H215" s="39" t="n">
        <x:v>6</x:v>
      </x:c>
      <x:c r="I215" s="41" t="n">
        <x:v>0.05989773557341125</x:v>
      </x:c>
      <x:c r="J215" s="41" t="n">
        <x:v>0.018292682926829267</x:v>
      </x:c>
      <x:c r="K215" s="44" t="n">
        <x:v>668.7466666666667</x:v>
      </x:c>
      <x:c r="L215" s="42" t="n">
        <x:v>0.5728178084376745</x:v>
      </x:c>
      <x:c r="M215" s="44" t="n">
        <x:v>-857.03</x:v>
      </x:c>
      <x:c r="N215" s="41" t="n">
        <x:v>-0.7457557800576048</x:v>
      </x:c>
    </x:row>
    <x:row r="216" ht="15" hidden="0" customHeight="1">
      <x:c r="A216" s="43" t="str">
        <x:v>2026-01-31</x:v>
      </x:c>
      <x:c r="B216" s="39" t="str">
        <x:v>Partnerships</x:v>
      </x:c>
      <x:c r="C216" s="39" t="n">
        <x:v>2485</x:v>
      </x:c>
      <x:c r="D216" s="39" t="n">
        <x:v>115</x:v>
      </x:c>
      <x:c r="E216" s="39" t="n">
        <x:v>1</x:v>
      </x:c>
      <x:c r="F216" s="44" t="n">
        <x:v>805.56</x:v>
      </x:c>
      <x:c r="G216" s="44" t="n">
        <x:v>326.2</x:v>
      </x:c>
      <x:c r="H216" s="39" t="n">
        <x:v>6</x:v>
      </x:c>
      <x:c r="I216" s="41" t="n">
        <x:v>0.04627766599597585</x:v>
      </x:c>
      <x:c r="J216" s="41" t="n">
        <x:v>0.008695652173913044</x:v>
      </x:c>
      <x:c r="K216" s="44" t="n">
        <x:v>805.56</x:v>
      </x:c>
      <x:c r="L216" s="42" t="n">
        <x:v>0.40493569690649983</x:v>
      </x:c>
      <x:c r="M216" s="44" t="n">
        <x:v>-479.35999999999996</x:v>
      </x:c>
      <x:c r="N216" s="41" t="n">
        <x:v>-1.4695278969957082</x:v>
      </x:c>
    </x:row>
    <x:row r="217" ht="15" hidden="0" customHeight="1">
      <x:c r="A217" s="43" t="str">
        <x:v>2026-01-31</x:v>
      </x:c>
      <x:c r="B217" s="39" t="str">
        <x:v>Referral</x:v>
      </x:c>
      <x:c r="C217" s="39" t="n">
        <x:v>1884</x:v>
      </x:c>
      <x:c r="D217" s="39" t="n">
        <x:v>193</x:v>
      </x:c>
      <x:c r="E217" s="39" t="n">
        <x:v>5</x:v>
      </x:c>
      <x:c r="F217" s="44" t="n">
        <x:v>402.58</x:v>
      </x:c>
      <x:c r="G217" s="44" t="n">
        <x:v>2939.63</x:v>
      </x:c>
      <x:c r="H217" s="39" t="n">
        <x:v>6</x:v>
      </x:c>
      <x:c r="I217" s="41" t="n">
        <x:v>0.10244161358811041</x:v>
      </x:c>
      <x:c r="J217" s="41" t="n">
        <x:v>0.025906735751295335</x:v>
      </x:c>
      <x:c r="K217" s="44" t="n">
        <x:v>80.51599999999999</x:v>
      </x:c>
      <x:c r="L217" s="42" t="n">
        <x:v>7.301977246758409</x:v>
      </x:c>
      <x:c r="M217" s="44" t="n">
        <x:v>2537.05</x:v>
      </x:c>
      <x:c r="N217" s="41" t="n">
        <x:v>0.8630507921064896</x:v>
      </x:c>
    </x:row>
    <x:row r="218" ht="15" hidden="0" customHeight="1">
      <x:c r="A218" s="43" t="str">
        <x:v>2026-01-31</x:v>
      </x:c>
      <x:c r="B218" s="39" t="str">
        <x:v>SEO</x:v>
      </x:c>
      <x:c r="C218" s="39" t="n">
        <x:v>2377</x:v>
      </x:c>
      <x:c r="D218" s="39" t="n">
        <x:v>131</x:v>
      </x:c>
      <x:c r="E218" s="39" t="n">
        <x:v>3</x:v>
      </x:c>
      <x:c r="F218" s="44" t="n">
        <x:v>1084.97</x:v>
      </x:c>
      <x:c r="G218" s="44" t="n">
        <x:v>1320.81</x:v>
      </x:c>
      <x:c r="H218" s="39" t="n">
        <x:v>6</x:v>
      </x:c>
      <x:c r="I218" s="41" t="n">
        <x:v>0.05511148506520824</x:v>
      </x:c>
      <x:c r="J218" s="41" t="n">
        <x:v>0.022900763358778626</x:v>
      </x:c>
      <x:c r="K218" s="44" t="n">
        <x:v>361.6566666666667</x:v>
      </x:c>
      <x:c r="L218" s="42" t="n">
        <x:v>1.2173700655317659</x:v>
      </x:c>
      <x:c r="M218" s="44" t="n">
        <x:v>235.83999999999992</x:v>
      </x:c>
      <x:c r="N218" s="41" t="n">
        <x:v>0.17855709753863155</x:v>
      </x:c>
    </x:row>
    <x:row r="219" ht="15" hidden="0" customHeight="1">
      <x:c r="A219" s="43" t="str">
        <x:v>2026-02-01</x:v>
      </x:c>
      <x:c r="B219" s="39" t="str">
        <x:v>Content</x:v>
      </x:c>
      <x:c r="C219" s="39" t="n">
        <x:v>2186</x:v>
      </x:c>
      <x:c r="D219" s="39" t="n">
        <x:v>62</x:v>
      </x:c>
      <x:c r="E219" s="39" t="n">
        <x:v>0</x:v>
      </x:c>
      <x:c r="F219" s="44" t="n">
        <x:v>698.74</x:v>
      </x:c>
      <x:c r="G219" s="44" t="n">
        <x:v>0</x:v>
      </x:c>
      <x:c r="H219" s="39" t="n">
        <x:v>6</x:v>
      </x:c>
      <x:c r="I219" s="41" t="n">
        <x:v>0.028362305580969808</x:v>
      </x:c>
      <x:c r="J219" s="41" t="n">
        <x:v>0</x:v>
      </x:c>
      <x:c r="K219" s="44"/>
      <x:c r="L219" s="42" t="n">
        <x:v>0</x:v>
      </x:c>
      <x:c r="M219" s="44" t="n">
        <x:v>-698.74</x:v>
      </x:c>
      <x:c r="N219" s="41"/>
    </x:row>
    <x:row r="220" ht="15" hidden="0" customHeight="1">
      <x:c r="A220" s="43" t="str">
        <x:v>2026-02-01</x:v>
      </x:c>
      <x:c r="B220" s="39" t="str">
        <x:v>LinkedIn Ads</x:v>
      </x:c>
      <x:c r="C220" s="39" t="n">
        <x:v>1570</x:v>
      </x:c>
      <x:c r="D220" s="39" t="n">
        <x:v>31</x:v>
      </x:c>
      <x:c r="E220" s="39" t="n">
        <x:v>0</x:v>
      </x:c>
      <x:c r="F220" s="44" t="n">
        <x:v>946.12</x:v>
      </x:c>
      <x:c r="G220" s="44" t="n">
        <x:v>0</x:v>
      </x:c>
      <x:c r="H220" s="39" t="n">
        <x:v>6</x:v>
      </x:c>
      <x:c r="I220" s="41" t="n">
        <x:v>0.019745222929936305</x:v>
      </x:c>
      <x:c r="J220" s="41" t="n">
        <x:v>0</x:v>
      </x:c>
      <x:c r="K220" s="44"/>
      <x:c r="L220" s="42" t="n">
        <x:v>0</x:v>
      </x:c>
      <x:c r="M220" s="44" t="n">
        <x:v>-946.12</x:v>
      </x:c>
      <x:c r="N220" s="41"/>
    </x:row>
    <x:row r="221" ht="15" hidden="0" customHeight="1">
      <x:c r="A221" s="43" t="str">
        <x:v>2026-02-01</x:v>
      </x:c>
      <x:c r="B221" s="39" t="str">
        <x:v>Outbound Sales</x:v>
      </x:c>
      <x:c r="C221" s="39" t="n">
        <x:v>2209</x:v>
      </x:c>
      <x:c r="D221" s="39" t="n">
        <x:v>103</x:v>
      </x:c>
      <x:c r="E221" s="39" t="n">
        <x:v>1</x:v>
      </x:c>
      <x:c r="F221" s="44" t="n">
        <x:v>1265.07</x:v>
      </x:c>
      <x:c r="G221" s="44" t="n">
        <x:v>877.39</x:v>
      </x:c>
      <x:c r="H221" s="39" t="n">
        <x:v>6</x:v>
      </x:c>
      <x:c r="I221" s="41" t="n">
        <x:v>0.046627433227704844</x:v>
      </x:c>
      <x:c r="J221" s="41" t="n">
        <x:v>0.009708737864077669</x:v>
      </x:c>
      <x:c r="K221" s="44" t="n">
        <x:v>1265.07</x:v>
      </x:c>
      <x:c r="L221" s="42" t="n">
        <x:v>0.69355055451477</x:v>
      </x:c>
      <x:c r="M221" s="44" t="n">
        <x:v>-387.67999999999995</x:v>
      </x:c>
      <x:c r="N221" s="41" t="n">
        <x:v>-0.4418559591515745</x:v>
      </x:c>
    </x:row>
    <x:row r="222" ht="15" hidden="0" customHeight="1">
      <x:c r="A222" s="43" t="str">
        <x:v>2026-02-01</x:v>
      </x:c>
      <x:c r="B222" s="39" t="str">
        <x:v>Paid Search</x:v>
      </x:c>
      <x:c r="C222" s="39" t="n">
        <x:v>2476</x:v>
      </x:c>
      <x:c r="D222" s="39" t="n">
        <x:v>119</x:v>
      </x:c>
      <x:c r="E222" s="39" t="n">
        <x:v>2</x:v>
      </x:c>
      <x:c r="F222" s="44" t="n">
        <x:v>1692.95</x:v>
      </x:c>
      <x:c r="G222" s="44" t="n">
        <x:v>1570.78</x:v>
      </x:c>
      <x:c r="H222" s="39" t="n">
        <x:v>6</x:v>
      </x:c>
      <x:c r="I222" s="41" t="n">
        <x:v>0.048061389337641355</x:v>
      </x:c>
      <x:c r="J222" s="41" t="n">
        <x:v>0.01680672268907563</x:v>
      </x:c>
      <x:c r="K222" s="44" t="n">
        <x:v>846.475</x:v>
      </x:c>
      <x:c r="L222" s="42" t="n">
        <x:v>0.9278360258719985</x:v>
      </x:c>
      <x:c r="M222" s="44" t="n">
        <x:v>-122.17000000000007</x:v>
      </x:c>
      <x:c r="N222" s="41" t="n">
        <x:v>-0.07777664599752994</x:v>
      </x:c>
    </x:row>
    <x:row r="223" ht="15" hidden="0" customHeight="1">
      <x:c r="A223" s="43" t="str">
        <x:v>2026-02-01</x:v>
      </x:c>
      <x:c r="B223" s="39" t="str">
        <x:v>Partnerships</x:v>
      </x:c>
      <x:c r="C223" s="39" t="n">
        <x:v>2074</x:v>
      </x:c>
      <x:c r="D223" s="39" t="n">
        <x:v>87</x:v>
      </x:c>
      <x:c r="E223" s="39" t="n">
        <x:v>1</x:v>
      </x:c>
      <x:c r="F223" s="44" t="n">
        <x:v>830.34</x:v>
      </x:c>
      <x:c r="G223" s="44" t="n">
        <x:v>795.51</x:v>
      </x:c>
      <x:c r="H223" s="39" t="n">
        <x:v>6</x:v>
      </x:c>
      <x:c r="I223" s="41" t="n">
        <x:v>0.041947926711668276</x:v>
      </x:c>
      <x:c r="J223" s="41" t="n">
        <x:v>0.011494252873563218</x:v>
      </x:c>
      <x:c r="K223" s="44" t="n">
        <x:v>830.34</x:v>
      </x:c>
      <x:c r="L223" s="42" t="n">
        <x:v>0.9580533275525688</x:v>
      </x:c>
      <x:c r="M223" s="44" t="n">
        <x:v>-34.83000000000004</x:v>
      </x:c>
      <x:c r="N223" s="41" t="n">
        <x:v>-0.0437832333974432</x:v>
      </x:c>
    </x:row>
    <x:row r="224" ht="15" hidden="0" customHeight="1">
      <x:c r="A224" s="43" t="str">
        <x:v>2026-02-01</x:v>
      </x:c>
      <x:c r="B224" s="39" t="str">
        <x:v>Referral</x:v>
      </x:c>
      <x:c r="C224" s="39" t="n">
        <x:v>2317</x:v>
      </x:c>
      <x:c r="D224" s="39" t="n">
        <x:v>196</x:v>
      </x:c>
      <x:c r="E224" s="39" t="n">
        <x:v>5</x:v>
      </x:c>
      <x:c r="F224" s="44" t="n">
        <x:v>422.86</x:v>
      </x:c>
      <x:c r="G224" s="44" t="n">
        <x:v>2265.45</x:v>
      </x:c>
      <x:c r="H224" s="39" t="n">
        <x:v>6</x:v>
      </x:c>
      <x:c r="I224" s="41" t="n">
        <x:v>0.08459214501510574</x:v>
      </x:c>
      <x:c r="J224" s="41" t="n">
        <x:v>0.025510204081632654</x:v>
      </x:c>
      <x:c r="K224" s="44" t="n">
        <x:v>84.572</x:v>
      </x:c>
      <x:c r="L224" s="42" t="n">
        <x:v>5.357446909142505</x:v>
      </x:c>
      <x:c r="M224" s="44" t="n">
        <x:v>1842.5899999999997</x:v>
      </x:c>
      <x:c r="N224" s="41" t="n">
        <x:v>0.8133439272550707</x:v>
      </x:c>
    </x:row>
    <x:row r="225" ht="15" hidden="0" customHeight="1">
      <x:c r="A225" s="43" t="str">
        <x:v>2026-02-01</x:v>
      </x:c>
      <x:c r="B225" s="39" t="str">
        <x:v>SEO</x:v>
      </x:c>
      <x:c r="C225" s="39" t="n">
        <x:v>2249</x:v>
      </x:c>
      <x:c r="D225" s="39" t="n">
        <x:v>121</x:v>
      </x:c>
      <x:c r="E225" s="39" t="n">
        <x:v>1</x:v>
      </x:c>
      <x:c r="F225" s="44" t="n">
        <x:v>914.1600000000001</x:v>
      </x:c>
      <x:c r="G225" s="44" t="n">
        <x:v>570.54</x:v>
      </x:c>
      <x:c r="H225" s="39" t="n">
        <x:v>6</x:v>
      </x:c>
      <x:c r="I225" s="41" t="n">
        <x:v>0.05380168963983993</x:v>
      </x:c>
      <x:c r="J225" s="41" t="n">
        <x:v>0.008264462809917356</x:v>
      </x:c>
      <x:c r="K225" s="44" t="n">
        <x:v>914.1600000000001</x:v>
      </x:c>
      <x:c r="L225" s="42" t="n">
        <x:v>0.6241139406668416</x:v>
      </x:c>
      <x:c r="M225" s="44" t="n">
        <x:v>-343.6200000000001</x:v>
      </x:c>
      <x:c r="N225" s="41" t="n">
        <x:v>-0.602271532232622</x:v>
      </x:c>
    </x:row>
    <x:row r="226" ht="15" hidden="0" customHeight="1">
      <x:c r="A226" s="43" t="str">
        <x:v>2026-02-02</x:v>
      </x:c>
      <x:c r="B226" s="39" t="str">
        <x:v>Content</x:v>
      </x:c>
      <x:c r="C226" s="39" t="n">
        <x:v>2170</x:v>
      </x:c>
      <x:c r="D226" s="39" t="n">
        <x:v>100</x:v>
      </x:c>
      <x:c r="E226" s="39" t="n">
        <x:v>0</x:v>
      </x:c>
      <x:c r="F226" s="44" t="n">
        <x:v>1036.73</x:v>
      </x:c>
      <x:c r="G226" s="44" t="n">
        <x:v>0</x:v>
      </x:c>
      <x:c r="H226" s="39" t="n">
        <x:v>6</x:v>
      </x:c>
      <x:c r="I226" s="41" t="n">
        <x:v>0.04608294930875576</x:v>
      </x:c>
      <x:c r="J226" s="41" t="n">
        <x:v>0</x:v>
      </x:c>
      <x:c r="K226" s="44"/>
      <x:c r="L226" s="42" t="n">
        <x:v>0</x:v>
      </x:c>
      <x:c r="M226" s="44" t="n">
        <x:v>-1036.73</x:v>
      </x:c>
      <x:c r="N226" s="41"/>
    </x:row>
    <x:row r="227" ht="15" hidden="0" customHeight="1">
      <x:c r="A227" s="43" t="str">
        <x:v>2026-02-02</x:v>
      </x:c>
      <x:c r="B227" s="39" t="str">
        <x:v>LinkedIn Ads</x:v>
      </x:c>
      <x:c r="C227" s="39" t="n">
        <x:v>2496</x:v>
      </x:c>
      <x:c r="D227" s="39" t="n">
        <x:v>91</x:v>
      </x:c>
      <x:c r="E227" s="39" t="n">
        <x:v>1</x:v>
      </x:c>
      <x:c r="F227" s="44" t="n">
        <x:v>1659.97</x:v>
      </x:c>
      <x:c r="G227" s="44" t="n">
        <x:v>309.93</x:v>
      </x:c>
      <x:c r="H227" s="39" t="n">
        <x:v>6</x:v>
      </x:c>
      <x:c r="I227" s="41" t="n">
        <x:v>0.036458333333333336</x:v>
      </x:c>
      <x:c r="J227" s="41" t="n">
        <x:v>0.01098901098901099</x:v>
      </x:c>
      <x:c r="K227" s="44" t="n">
        <x:v>1659.97</x:v>
      </x:c>
      <x:c r="L227" s="42" t="n">
        <x:v>0.18670819352156967</x:v>
      </x:c>
      <x:c r="M227" s="44" t="n">
        <x:v>-1350.04</x:v>
      </x:c>
      <x:c r="N227" s="41" t="n">
        <x:v>-4.355951343851837</x:v>
      </x:c>
    </x:row>
    <x:row r="228" ht="15" hidden="0" customHeight="1">
      <x:c r="A228" s="43" t="str">
        <x:v>2026-02-02</x:v>
      </x:c>
      <x:c r="B228" s="39" t="str">
        <x:v>Outbound Sales</x:v>
      </x:c>
      <x:c r="C228" s="39" t="n">
        <x:v>2634</x:v>
      </x:c>
      <x:c r="D228" s="39" t="n">
        <x:v>95</x:v>
      </x:c>
      <x:c r="E228" s="39" t="n">
        <x:v>1</x:v>
      </x:c>
      <x:c r="F228" s="44" t="n">
        <x:v>1335.78</x:v>
      </x:c>
      <x:c r="G228" s="44" t="n">
        <x:v>837.73</x:v>
      </x:c>
      <x:c r="H228" s="39" t="n">
        <x:v>6</x:v>
      </x:c>
      <x:c r="I228" s="41" t="n">
        <x:v>0.0360668185269552</x:v>
      </x:c>
      <x:c r="J228" s="41" t="n">
        <x:v>0.010526315789473684</x:v>
      </x:c>
      <x:c r="K228" s="44" t="n">
        <x:v>1335.78</x:v>
      </x:c>
      <x:c r="L228" s="42" t="n">
        <x:v>0.6271466858314992</x:v>
      </x:c>
      <x:c r="M228" s="44" t="n">
        <x:v>-498.04999999999995</x:v>
      </x:c>
      <x:c r="N228" s="41" t="n">
        <x:v>-0.5945232950950783</x:v>
      </x:c>
    </x:row>
    <x:row r="229" ht="15" hidden="0" customHeight="1">
      <x:c r="A229" s="43" t="str">
        <x:v>2026-02-02</x:v>
      </x:c>
      <x:c r="B229" s="39" t="str">
        <x:v>Paid Search</x:v>
      </x:c>
      <x:c r="C229" s="39" t="n">
        <x:v>3268</x:v>
      </x:c>
      <x:c r="D229" s="39" t="n">
        <x:v>201</x:v>
      </x:c>
      <x:c r="E229" s="39" t="n">
        <x:v>3</x:v>
      </x:c>
      <x:c r="F229" s="44" t="n">
        <x:v>2958.89</x:v>
      </x:c>
      <x:c r="G229" s="44" t="n">
        <x:v>1535.74</x:v>
      </x:c>
      <x:c r="H229" s="39" t="n">
        <x:v>6</x:v>
      </x:c>
      <x:c r="I229" s="41" t="n">
        <x:v>0.06150550795593635</x:v>
      </x:c>
      <x:c r="J229" s="41" t="n">
        <x:v>0.014925373134328358</x:v>
      </x:c>
      <x:c r="K229" s="44" t="n">
        <x:v>986.2966666666666</x:v>
      </x:c>
      <x:c r="L229" s="42" t="n">
        <x:v>0.5190257157244778</x:v>
      </x:c>
      <x:c r="M229" s="44" t="n">
        <x:v>-1423.1499999999999</x:v>
      </x:c>
      <x:c r="N229" s="41" t="n">
        <x:v>-0.9266868089650591</x:v>
      </x:c>
    </x:row>
    <x:row r="230" ht="15" hidden="0" customHeight="1">
      <x:c r="A230" s="43" t="str">
        <x:v>2026-02-02</x:v>
      </x:c>
      <x:c r="B230" s="39" t="str">
        <x:v>Partnerships</x:v>
      </x:c>
      <x:c r="C230" s="39" t="n">
        <x:v>2706</x:v>
      </x:c>
      <x:c r="D230" s="39" t="n">
        <x:v>80</x:v>
      </x:c>
      <x:c r="E230" s="39" t="n">
        <x:v>1</x:v>
      </x:c>
      <x:c r="F230" s="44" t="n">
        <x:v>1089.65</x:v>
      </x:c>
      <x:c r="G230" s="44" t="n">
        <x:v>264.1</x:v>
      </x:c>
      <x:c r="H230" s="39" t="n">
        <x:v>6</x:v>
      </x:c>
      <x:c r="I230" s="41" t="n">
        <x:v>0.029563932002956393</x:v>
      </x:c>
      <x:c r="J230" s="41" t="n">
        <x:v>0.0125</x:v>
      </x:c>
      <x:c r="K230" s="44" t="n">
        <x:v>1089.65</x:v>
      </x:c>
      <x:c r="L230" s="42" t="n">
        <x:v>0.24237140366172624</x:v>
      </x:c>
      <x:c r="M230" s="44" t="n">
        <x:v>-825.5500000000001</x:v>
      </x:c>
      <x:c r="N230" s="41" t="n">
        <x:v>-3.1258992805755397</x:v>
      </x:c>
    </x:row>
    <x:row r="231" ht="15" hidden="0" customHeight="1">
      <x:c r="A231" s="43" t="str">
        <x:v>2026-02-02</x:v>
      </x:c>
      <x:c r="B231" s="39" t="str">
        <x:v>Referral</x:v>
      </x:c>
      <x:c r="C231" s="39" t="n">
        <x:v>2748</x:v>
      </x:c>
      <x:c r="D231" s="39" t="n">
        <x:v>215</x:v>
      </x:c>
      <x:c r="E231" s="39" t="n">
        <x:v>6</x:v>
      </x:c>
      <x:c r="F231" s="44" t="n">
        <x:v>405.39</x:v>
      </x:c>
      <x:c r="G231" s="44" t="n">
        <x:v>3580.41</x:v>
      </x:c>
      <x:c r="H231" s="39" t="n">
        <x:v>6</x:v>
      </x:c>
      <x:c r="I231" s="41" t="n">
        <x:v>0.0782387190684134</x:v>
      </x:c>
      <x:c r="J231" s="41" t="n">
        <x:v>0.027906976744186046</x:v>
      </x:c>
      <x:c r="K231" s="44" t="n">
        <x:v>67.565</x:v>
      </x:c>
      <x:c r="L231" s="42" t="n">
        <x:v>8.832013616517427</x:v>
      </x:c>
      <x:c r="M231" s="44" t="n">
        <x:v>3175.02</x:v>
      </x:c>
      <x:c r="N231" s="41" t="n">
        <x:v>0.8867755368798546</x:v>
      </x:c>
    </x:row>
    <x:row r="232" ht="15" hidden="0" customHeight="1">
      <x:c r="A232" s="43" t="str">
        <x:v>2026-02-02</x:v>
      </x:c>
      <x:c r="B232" s="39" t="str">
        <x:v>SEO</x:v>
      </x:c>
      <x:c r="C232" s="39" t="n">
        <x:v>2234</x:v>
      </x:c>
      <x:c r="D232" s="39" t="n">
        <x:v>147</x:v>
      </x:c>
      <x:c r="E232" s="39" t="n">
        <x:v>2</x:v>
      </x:c>
      <x:c r="F232" s="44" t="n">
        <x:v>1285.65</x:v>
      </x:c>
      <x:c r="G232" s="44" t="n">
        <x:v>1020.59</x:v>
      </x:c>
      <x:c r="H232" s="39" t="n">
        <x:v>6</x:v>
      </x:c>
      <x:c r="I232" s="41" t="n">
        <x:v>0.06580125335720681</x:v>
      </x:c>
      <x:c r="J232" s="41" t="n">
        <x:v>0.013605442176870748</x:v>
      </x:c>
      <x:c r="K232" s="44" t="n">
        <x:v>642.825</x:v>
      </x:c>
      <x:c r="L232" s="42" t="n">
        <x:v>0.7938319138179131</x:v>
      </x:c>
      <x:c r="M232" s="44" t="n">
        <x:v>-265.06000000000006</x:v>
      </x:c>
      <x:c r="N232" s="41" t="n">
        <x:v>-0.2597125192290734</x:v>
      </x:c>
    </x:row>
    <x:row r="233" ht="15" hidden="0" customHeight="1">
      <x:c r="A233" s="43" t="str">
        <x:v>2026-02-03</x:v>
      </x:c>
      <x:c r="B233" s="39" t="str">
        <x:v>Content</x:v>
      </x:c>
      <x:c r="C233" s="39" t="n">
        <x:v>1919</x:v>
      </x:c>
      <x:c r="D233" s="39" t="n">
        <x:v>95</x:v>
      </x:c>
      <x:c r="E233" s="39" t="n">
        <x:v>1</x:v>
      </x:c>
      <x:c r="F233" s="44" t="n">
        <x:v>1020.3299999999999</x:v>
      </x:c>
      <x:c r="G233" s="44" t="n">
        <x:v>263.13</x:v>
      </x:c>
      <x:c r="H233" s="39" t="n">
        <x:v>6</x:v>
      </x:c>
      <x:c r="I233" s="41" t="n">
        <x:v>0.04950495049504951</x:v>
      </x:c>
      <x:c r="J233" s="41" t="n">
        <x:v>0.010526315789473684</x:v>
      </x:c>
      <x:c r="K233" s="44" t="n">
        <x:v>1020.3299999999999</x:v>
      </x:c>
      <x:c r="L233" s="42" t="n">
        <x:v>0.2578871541560084</x:v>
      </x:c>
      <x:c r="M233" s="44" t="n">
        <x:v>-757.1999999999999</x:v>
      </x:c>
      <x:c r="N233" s="41" t="n">
        <x:v>-2.8776650324934443</x:v>
      </x:c>
    </x:row>
    <x:row r="234" ht="15" hidden="0" customHeight="1">
      <x:c r="A234" s="43" t="str">
        <x:v>2026-02-03</x:v>
      </x:c>
      <x:c r="B234" s="39" t="str">
        <x:v>LinkedIn Ads</x:v>
      </x:c>
      <x:c r="C234" s="39" t="n">
        <x:v>2564</x:v>
      </x:c>
      <x:c r="D234" s="39" t="n">
        <x:v>177</x:v>
      </x:c>
      <x:c r="E234" s="39" t="n">
        <x:v>1</x:v>
      </x:c>
      <x:c r="F234" s="44" t="n">
        <x:v>1425.01</x:v>
      </x:c>
      <x:c r="G234" s="44" t="n">
        <x:v>318.2</x:v>
      </x:c>
      <x:c r="H234" s="39" t="n">
        <x:v>6</x:v>
      </x:c>
      <x:c r="I234" s="41" t="n">
        <x:v>0.06903276131045241</x:v>
      </x:c>
      <x:c r="J234" s="41" t="n">
        <x:v>0.005649717514124294</x:v>
      </x:c>
      <x:c r="K234" s="44" t="n">
        <x:v>1425.01</x:v>
      </x:c>
      <x:c r="L234" s="42" t="n">
        <x:v>0.22329667861979915</x:v>
      </x:c>
      <x:c r="M234" s="44" t="n">
        <x:v>-1106.81</x:v>
      </x:c>
      <x:c r="N234" s="41" t="n">
        <x:v>-3.4783469516027656</x:v>
      </x:c>
    </x:row>
    <x:row r="235" ht="15" hidden="0" customHeight="1">
      <x:c r="A235" s="43" t="str">
        <x:v>2026-02-03</x:v>
      </x:c>
      <x:c r="B235" s="39" t="str">
        <x:v>Outbound Sales</x:v>
      </x:c>
      <x:c r="C235" s="39" t="n">
        <x:v>3127</x:v>
      </x:c>
      <x:c r="D235" s="39" t="n">
        <x:v>301</x:v>
      </x:c>
      <x:c r="E235" s="39" t="n">
        <x:v>2</x:v>
      </x:c>
      <x:c r="F235" s="44" t="n">
        <x:v>1706.6399999999999</x:v>
      </x:c>
      <x:c r="G235" s="44" t="n">
        <x:v>966.04</x:v>
      </x:c>
      <x:c r="H235" s="39" t="n">
        <x:v>6</x:v>
      </x:c>
      <x:c r="I235" s="41" t="n">
        <x:v>0.09625839462743845</x:v>
      </x:c>
      <x:c r="J235" s="41" t="n">
        <x:v>0.006644518272425249</x:v>
      </x:c>
      <x:c r="K235" s="44" t="n">
        <x:v>853.3199999999999</x:v>
      </x:c>
      <x:c r="L235" s="42" t="n">
        <x:v>0.5660479069985469</x:v>
      </x:c>
      <x:c r="M235" s="44" t="n">
        <x:v>-740.5999999999999</x:v>
      </x:c>
      <x:c r="N235" s="41" t="n">
        <x:v>-0.7666349219494016</x:v>
      </x:c>
    </x:row>
    <x:row r="236" ht="15" hidden="0" customHeight="1">
      <x:c r="A236" s="43" t="str">
        <x:v>2026-02-03</x:v>
      </x:c>
      <x:c r="B236" s="39" t="str">
        <x:v>Paid Search</x:v>
      </x:c>
      <x:c r="C236" s="39" t="n">
        <x:v>3197</x:v>
      </x:c>
      <x:c r="D236" s="39" t="n">
        <x:v>278</x:v>
      </x:c>
      <x:c r="E236" s="39" t="n">
        <x:v>4</x:v>
      </x:c>
      <x:c r="F236" s="44" t="n">
        <x:v>2458.63</x:v>
      </x:c>
      <x:c r="G236" s="44" t="n">
        <x:v>1997.9099999999999</x:v>
      </x:c>
      <x:c r="H236" s="39" t="n">
        <x:v>6</x:v>
      </x:c>
      <x:c r="I236" s="41" t="n">
        <x:v>0.08695652173913043</x:v>
      </x:c>
      <x:c r="J236" s="41" t="n">
        <x:v>0.014388489208633094</x:v>
      </x:c>
      <x:c r="K236" s="44" t="n">
        <x:v>614.6575</x:v>
      </x:c>
      <x:c r="L236" s="42" t="n">
        <x:v>0.8126110882890064</x:v>
      </x:c>
      <x:c r="M236" s="44" t="n">
        <x:v>-460.72000000000025</x:v>
      </x:c>
      <x:c r="N236" s="41" t="n">
        <x:v>-0.23060097802203317</x:v>
      </x:c>
    </x:row>
    <x:row r="237" ht="15" hidden="0" customHeight="1">
      <x:c r="A237" s="43" t="str">
        <x:v>2026-02-03</x:v>
      </x:c>
      <x:c r="B237" s="39" t="str">
        <x:v>Partnerships</x:v>
      </x:c>
      <x:c r="C237" s="39" t="n">
        <x:v>1800</x:v>
      </x:c>
      <x:c r="D237" s="39" t="n">
        <x:v>154</x:v>
      </x:c>
      <x:c r="E237" s="39" t="n">
        <x:v>2</x:v>
      </x:c>
      <x:c r="F237" s="44" t="n">
        <x:v>1193.46</x:v>
      </x:c>
      <x:c r="G237" s="44" t="n">
        <x:v>1010.43</x:v>
      </x:c>
      <x:c r="H237" s="39" t="n">
        <x:v>6</x:v>
      </x:c>
      <x:c r="I237" s="41" t="n">
        <x:v>0.08555555555555555</x:v>
      </x:c>
      <x:c r="J237" s="41" t="n">
        <x:v>0.012987012987012988</x:v>
      </x:c>
      <x:c r="K237" s="44" t="n">
        <x:v>596.73</x:v>
      </x:c>
      <x:c r="L237" s="42" t="n">
        <x:v>0.8466391835503493</x:v>
      </x:c>
      <x:c r="M237" s="44" t="n">
        <x:v>-183.0300000000001</x:v>
      </x:c>
      <x:c r="N237" s="41" t="n">
        <x:v>-0.18114070247320457</x:v>
      </x:c>
    </x:row>
    <x:row r="238" ht="15" hidden="0" customHeight="1">
      <x:c r="A238" s="43" t="str">
        <x:v>2026-02-03</x:v>
      </x:c>
      <x:c r="B238" s="39" t="str">
        <x:v>Referral</x:v>
      </x:c>
      <x:c r="C238" s="39" t="n">
        <x:v>2370</x:v>
      </x:c>
      <x:c r="D238" s="39" t="n">
        <x:v>217</x:v>
      </x:c>
      <x:c r="E238" s="39" t="n">
        <x:v>6</x:v>
      </x:c>
      <x:c r="F238" s="44" t="n">
        <x:v>531.19</x:v>
      </x:c>
      <x:c r="G238" s="44" t="n">
        <x:v>2989.1400000000003</x:v>
      </x:c>
      <x:c r="H238" s="39" t="n">
        <x:v>6</x:v>
      </x:c>
      <x:c r="I238" s="41" t="n">
        <x:v>0.09156118143459915</x:v>
      </x:c>
      <x:c r="J238" s="41" t="n">
        <x:v>0.027649769585253458</x:v>
      </x:c>
      <x:c r="K238" s="44" t="n">
        <x:v>88.53166666666668</x:v>
      </x:c>
      <x:c r="L238" s="42" t="n">
        <x:v>5.627252019051563</x:v>
      </x:c>
      <x:c r="M238" s="44" t="n">
        <x:v>2457.9500000000003</x:v>
      </x:c>
      <x:c r="N238" s="41" t="n">
        <x:v>0.8222933686612203</x:v>
      </x:c>
    </x:row>
    <x:row r="239" ht="15" hidden="0" customHeight="1">
      <x:c r="A239" s="43" t="str">
        <x:v>2026-02-03</x:v>
      </x:c>
      <x:c r="B239" s="39" t="str">
        <x:v>SEO</x:v>
      </x:c>
      <x:c r="C239" s="39" t="n">
        <x:v>1838</x:v>
      </x:c>
      <x:c r="D239" s="39" t="n">
        <x:v>145</x:v>
      </x:c>
      <x:c r="E239" s="39" t="n">
        <x:v>2</x:v>
      </x:c>
      <x:c r="F239" s="44" t="n">
        <x:v>1298.8400000000001</x:v>
      </x:c>
      <x:c r="G239" s="44" t="n">
        <x:v>844.05</x:v>
      </x:c>
      <x:c r="H239" s="39" t="n">
        <x:v>6</x:v>
      </x:c>
      <x:c r="I239" s="41" t="n">
        <x:v>0.07889009793253536</x:v>
      </x:c>
      <x:c r="J239" s="41" t="n">
        <x:v>0.013793103448275862</x:v>
      </x:c>
      <x:c r="K239" s="44" t="n">
        <x:v>649.4200000000001</x:v>
      </x:c>
      <x:c r="L239" s="42" t="n">
        <x:v>0.6498490961165346</x:v>
      </x:c>
      <x:c r="M239" s="44" t="n">
        <x:v>-454.7900000000002</x:v>
      </x:c>
      <x:c r="N239" s="41" t="n">
        <x:v>-0.5388187903560219</x:v>
      </x:c>
    </x:row>
    <x:row r="240" ht="15" hidden="0" customHeight="1">
      <x:c r="A240" s="43" t="str">
        <x:v>2026-02-04</x:v>
      </x:c>
      <x:c r="B240" s="39" t="str">
        <x:v>Content</x:v>
      </x:c>
      <x:c r="C240" s="39" t="n">
        <x:v>2049</x:v>
      </x:c>
      <x:c r="D240" s="39" t="n">
        <x:v>159</x:v>
      </x:c>
      <x:c r="E240" s="39" t="n">
        <x:v>2</x:v>
      </x:c>
      <x:c r="F240" s="44" t="n">
        <x:v>1695.54</x:v>
      </x:c>
      <x:c r="G240" s="44" t="n">
        <x:v>856.05</x:v>
      </x:c>
      <x:c r="H240" s="39" t="n">
        <x:v>6</x:v>
      </x:c>
      <x:c r="I240" s="41" t="n">
        <x:v>0.07759882869692533</x:v>
      </x:c>
      <x:c r="J240" s="41" t="n">
        <x:v>0.012578616352201259</x:v>
      </x:c>
      <x:c r="K240" s="44" t="n">
        <x:v>847.77</x:v>
      </x:c>
      <x:c r="L240" s="42" t="n">
        <x:v>0.5048833999787679</x:v>
      </x:c>
      <x:c r="M240" s="44" t="n">
        <x:v>-839.49</x:v>
      </x:c>
      <x:c r="N240" s="41" t="n">
        <x:v>-0.9806553355528299</x:v>
      </x:c>
    </x:row>
    <x:row r="241" ht="15" hidden="0" customHeight="1">
      <x:c r="A241" s="43" t="str">
        <x:v>2026-02-04</x:v>
      </x:c>
      <x:c r="B241" s="39" t="str">
        <x:v>LinkedIn Ads</x:v>
      </x:c>
      <x:c r="C241" s="39" t="n">
        <x:v>2968</x:v>
      </x:c>
      <x:c r="D241" s="39" t="n">
        <x:v>195</x:v>
      </x:c>
      <x:c r="E241" s="39" t="n">
        <x:v>3</x:v>
      </x:c>
      <x:c r="F241" s="44" t="n">
        <x:v>2449.87</x:v>
      </x:c>
      <x:c r="G241" s="44" t="n">
        <x:v>1650.8899999999999</x:v>
      </x:c>
      <x:c r="H241" s="39" t="n">
        <x:v>6</x:v>
      </x:c>
      <x:c r="I241" s="41" t="n">
        <x:v>0.06570080862533692</x:v>
      </x:c>
      <x:c r="J241" s="41" t="n">
        <x:v>0.015384615384615385</x:v>
      </x:c>
      <x:c r="K241" s="44" t="n">
        <x:v>816.6233333333333</x:v>
      </x:c>
      <x:c r="L241" s="42" t="n">
        <x:v>0.6738684093441693</x:v>
      </x:c>
      <x:c r="M241" s="44" t="n">
        <x:v>-798.98</x:v>
      </x:c>
      <x:c r="N241" s="41" t="n">
        <x:v>-0.4839692529484097</x:v>
      </x:c>
    </x:row>
    <x:row r="242" ht="15" hidden="0" customHeight="1">
      <x:c r="A242" s="43" t="str">
        <x:v>2026-02-04</x:v>
      </x:c>
      <x:c r="B242" s="39" t="str">
        <x:v>Outbound Sales</x:v>
      </x:c>
      <x:c r="C242" s="39" t="n">
        <x:v>3404</x:v>
      </x:c>
      <x:c r="D242" s="39" t="n">
        <x:v>211</x:v>
      </x:c>
      <x:c r="E242" s="39" t="n">
        <x:v>3</x:v>
      </x:c>
      <x:c r="F242" s="44" t="n">
        <x:v>2633.66</x:v>
      </x:c>
      <x:c r="G242" s="44" t="n">
        <x:v>1640.6</x:v>
      </x:c>
      <x:c r="H242" s="39" t="n">
        <x:v>6</x:v>
      </x:c>
      <x:c r="I242" s="41" t="n">
        <x:v>0.06198589894242068</x:v>
      </x:c>
      <x:c r="J242" s="41" t="n">
        <x:v>0.014218009478672985</x:v>
      </x:c>
      <x:c r="K242" s="44" t="n">
        <x:v>877.8866666666667</x:v>
      </x:c>
      <x:c r="L242" s="42" t="n">
        <x:v>0.6229353826993613</x:v>
      </x:c>
      <x:c r="M242" s="44" t="n">
        <x:v>-993.06</x:v>
      </x:c>
      <x:c r="N242" s="41" t="n">
        <x:v>-0.6053029379495306</x:v>
      </x:c>
    </x:row>
    <x:row r="243" ht="15" hidden="0" customHeight="1">
      <x:c r="A243" s="43" t="str">
        <x:v>2026-02-04</x:v>
      </x:c>
      <x:c r="B243" s="39" t="str">
        <x:v>Paid Search</x:v>
      </x:c>
      <x:c r="C243" s="39" t="n">
        <x:v>4039</x:v>
      </x:c>
      <x:c r="D243" s="39" t="n">
        <x:v>424</x:v>
      </x:c>
      <x:c r="E243" s="39" t="n">
        <x:v>5</x:v>
      </x:c>
      <x:c r="F243" s="44" t="n">
        <x:v>4352.34</x:v>
      </x:c>
      <x:c r="G243" s="44" t="n">
        <x:v>2739.37</x:v>
      </x:c>
      <x:c r="H243" s="39" t="n">
        <x:v>6</x:v>
      </x:c>
      <x:c r="I243" s="41" t="n">
        <x:v>0.10497647932656598</x:v>
      </x:c>
      <x:c r="J243" s="41" t="n">
        <x:v>0.01179245283018868</x:v>
      </x:c>
      <x:c r="K243" s="44" t="n">
        <x:v>870.4680000000001</x:v>
      </x:c>
      <x:c r="L243" s="42" t="n">
        <x:v>0.6294016552015697</x:v>
      </x:c>
      <x:c r="M243" s="44" t="n">
        <x:v>-1612.9700000000003</x:v>
      </x:c>
      <x:c r="N243" s="41" t="n">
        <x:v>-0.5888105659330432</x:v>
      </x:c>
    </x:row>
    <x:row r="244" ht="15" hidden="0" customHeight="1">
      <x:c r="A244" s="43" t="str">
        <x:v>2026-02-04</x:v>
      </x:c>
      <x:c r="B244" s="39" t="str">
        <x:v>Partnerships</x:v>
      </x:c>
      <x:c r="C244" s="39" t="n">
        <x:v>2351</x:v>
      </x:c>
      <x:c r="D244" s="39" t="n">
        <x:v>203</x:v>
      </x:c>
      <x:c r="E244" s="39" t="n">
        <x:v>3</x:v>
      </x:c>
      <x:c r="F244" s="44" t="n">
        <x:v>1891.8</x:v>
      </x:c>
      <x:c r="G244" s="44" t="n">
        <x:v>1498.87</x:v>
      </x:c>
      <x:c r="H244" s="39" t="n">
        <x:v>6</x:v>
      </x:c>
      <x:c r="I244" s="41" t="n">
        <x:v>0.08634623564440663</x:v>
      </x:c>
      <x:c r="J244" s="41" t="n">
        <x:v>0.014778325123152709</x:v>
      </x:c>
      <x:c r="K244" s="44" t="n">
        <x:v>630.6</x:v>
      </x:c>
      <x:c r="L244" s="42" t="n">
        <x:v>0.7922983402050956</x:v>
      </x:c>
      <x:c r="M244" s="44" t="n">
        <x:v>-392.93000000000006</x:v>
      </x:c>
      <x:c r="N244" s="41" t="n">
        <x:v>-0.26215082028461445</x:v>
      </x:c>
    </x:row>
    <x:row r="245" ht="15" hidden="0" customHeight="1">
      <x:c r="A245" s="43" t="str">
        <x:v>2026-02-04</x:v>
      </x:c>
      <x:c r="B245" s="39" t="str">
        <x:v>Referral</x:v>
      </x:c>
      <x:c r="C245" s="39" t="n">
        <x:v>2002</x:v>
      </x:c>
      <x:c r="D245" s="39" t="n">
        <x:v>128</x:v>
      </x:c>
      <x:c r="E245" s="39" t="n">
        <x:v>4</x:v>
      </x:c>
      <x:c r="F245" s="44" t="n">
        <x:v>873.5</x:v>
      </x:c>
      <x:c r="G245" s="44" t="n">
        <x:v>1869.07</x:v>
      </x:c>
      <x:c r="H245" s="39" t="n">
        <x:v>6</x:v>
      </x:c>
      <x:c r="I245" s="41" t="n">
        <x:v>0.06393606393606394</x:v>
      </x:c>
      <x:c r="J245" s="41" t="n">
        <x:v>0.03125</x:v>
      </x:c>
      <x:c r="K245" s="44" t="n">
        <x:v>218.375</x:v>
      </x:c>
      <x:c r="L245" s="42" t="n">
        <x:v>2.139748139668002</x:v>
      </x:c>
      <x:c r="M245" s="44" t="n">
        <x:v>995.5699999999999</x:v>
      </x:c>
      <x:c r="N245" s="41" t="n">
        <x:v>0.5326552777584574</x:v>
      </x:c>
    </x:row>
    <x:row r="246" ht="15" hidden="0" customHeight="1">
      <x:c r="A246" s="43" t="str">
        <x:v>2026-02-04</x:v>
      </x:c>
      <x:c r="B246" s="39" t="str">
        <x:v>SEO</x:v>
      </x:c>
      <x:c r="C246" s="39" t="n">
        <x:v>2758</x:v>
      </x:c>
      <x:c r="D246" s="39" t="n">
        <x:v>218</x:v>
      </x:c>
      <x:c r="E246" s="39" t="n">
        <x:v>4</x:v>
      </x:c>
      <x:c r="F246" s="44" t="n">
        <x:v>2127.97</x:v>
      </x:c>
      <x:c r="G246" s="44" t="n">
        <x:v>1674.44</x:v>
      </x:c>
      <x:c r="H246" s="39" t="n">
        <x:v>6</x:v>
      </x:c>
      <x:c r="I246" s="41" t="n">
        <x:v>0.07904278462654098</x:v>
      </x:c>
      <x:c r="J246" s="41" t="n">
        <x:v>0.01834862385321101</x:v>
      </x:c>
      <x:c r="K246" s="44" t="n">
        <x:v>531.9925</x:v>
      </x:c>
      <x:c r="L246" s="42" t="n">
        <x:v>0.7868719953758747</x:v>
      </x:c>
      <x:c r="M246" s="44" t="n">
        <x:v>-453.52999999999975</x:v>
      </x:c>
      <x:c r="N246" s="41" t="n">
        <x:v>-0.2708547335228493</x:v>
      </x:c>
    </x:row>
    <x:row r="247" ht="15" hidden="0" customHeight="1">
      <x:c r="A247" s="43" t="str">
        <x:v>2026-02-05</x:v>
      </x:c>
      <x:c r="B247" s="39" t="str">
        <x:v>Content</x:v>
      </x:c>
      <x:c r="C247" s="39" t="n">
        <x:v>1737</x:v>
      </x:c>
      <x:c r="D247" s="39" t="n">
        <x:v>107</x:v>
      </x:c>
      <x:c r="E247" s="39" t="n">
        <x:v>2</x:v>
      </x:c>
      <x:c r="F247" s="44" t="n">
        <x:v>1319.9</x:v>
      </x:c>
      <x:c r="G247" s="44" t="n">
        <x:v>474.81</x:v>
      </x:c>
      <x:c r="H247" s="39" t="n">
        <x:v>6</x:v>
      </x:c>
      <x:c r="I247" s="41" t="n">
        <x:v>0.061600460564191134</x:v>
      </x:c>
      <x:c r="J247" s="41" t="n">
        <x:v>0.018691588785046728</x:v>
      </x:c>
      <x:c r="K247" s="44" t="n">
        <x:v>659.95</x:v>
      </x:c>
      <x:c r="L247" s="42" t="n">
        <x:v>0.3597317978634745</x:v>
      </x:c>
      <x:c r="M247" s="44" t="n">
        <x:v>-845.0900000000001</x:v>
      </x:c>
      <x:c r="N247" s="41" t="n">
        <x:v>-1.7798487816179107</x:v>
      </x:c>
    </x:row>
    <x:row r="248" ht="15" hidden="0" customHeight="1">
      <x:c r="A248" s="43" t="str">
        <x:v>2026-02-05</x:v>
      </x:c>
      <x:c r="B248" s="39" t="str">
        <x:v>LinkedIn Ads</x:v>
      </x:c>
      <x:c r="C248" s="39" t="n">
        <x:v>2322</x:v>
      </x:c>
      <x:c r="D248" s="39" t="n">
        <x:v>143</x:v>
      </x:c>
      <x:c r="E248" s="39" t="n">
        <x:v>1</x:v>
      </x:c>
      <x:c r="F248" s="44" t="n">
        <x:v>1850.42</x:v>
      </x:c>
      <x:c r="G248" s="44" t="n">
        <x:v>348.02</x:v>
      </x:c>
      <x:c r="H248" s="39" t="n">
        <x:v>6</x:v>
      </x:c>
      <x:c r="I248" s="41" t="n">
        <x:v>0.0615848406546081</x:v>
      </x:c>
      <x:c r="J248" s="41" t="n">
        <x:v>0.006993006993006993</x:v>
      </x:c>
      <x:c r="K248" s="44" t="n">
        <x:v>1850.42</x:v>
      </x:c>
      <x:c r="L248" s="42" t="n">
        <x:v>0.18807622053371664</x:v>
      </x:c>
      <x:c r="M248" s="44" t="n">
        <x:v>-1502.4</x:v>
      </x:c>
      <x:c r="N248" s="41" t="n">
        <x:v>-4.316993276248492</x:v>
      </x:c>
    </x:row>
    <x:row r="249" ht="15" hidden="0" customHeight="1">
      <x:c r="A249" s="43" t="str">
        <x:v>2026-02-05</x:v>
      </x:c>
      <x:c r="B249" s="39" t="str">
        <x:v>Outbound Sales</x:v>
      </x:c>
      <x:c r="C249" s="39" t="n">
        <x:v>4427</x:v>
      </x:c>
      <x:c r="D249" s="39" t="n">
        <x:v>390</x:v>
      </x:c>
      <x:c r="E249" s="39" t="n">
        <x:v>3</x:v>
      </x:c>
      <x:c r="F249" s="44" t="n">
        <x:v>1721.6100000000001</x:v>
      </x:c>
      <x:c r="G249" s="44" t="n">
        <x:v>1443.92</x:v>
      </x:c>
      <x:c r="H249" s="39" t="n">
        <x:v>6</x:v>
      </x:c>
      <x:c r="I249" s="41" t="n">
        <x:v>0.08809577592048791</x:v>
      </x:c>
      <x:c r="J249" s="41" t="n">
        <x:v>0.007692307692307693</x:v>
      </x:c>
      <x:c r="K249" s="44" t="n">
        <x:v>573.87</x:v>
      </x:c>
      <x:c r="L249" s="42" t="n">
        <x:v>0.8387033067884132</x:v>
      </x:c>
      <x:c r="M249" s="44" t="n">
        <x:v>-277.69000000000005</x:v>
      </x:c>
      <x:c r="N249" s="41" t="n">
        <x:v>-0.19231674885035185</x:v>
      </x:c>
    </x:row>
    <x:row r="250" ht="15" hidden="0" customHeight="1">
      <x:c r="A250" s="43" t="str">
        <x:v>2026-02-05</x:v>
      </x:c>
      <x:c r="B250" s="39" t="str">
        <x:v>Paid Search</x:v>
      </x:c>
      <x:c r="C250" s="39" t="n">
        <x:v>2822</x:v>
      </x:c>
      <x:c r="D250" s="39" t="n">
        <x:v>192</x:v>
      </x:c>
      <x:c r="E250" s="39" t="n">
        <x:v>3</x:v>
      </x:c>
      <x:c r="F250" s="44" t="n">
        <x:v>3098.81</x:v>
      </x:c>
      <x:c r="G250" s="44" t="n">
        <x:v>1064.23</x:v>
      </x:c>
      <x:c r="H250" s="39" t="n">
        <x:v>6</x:v>
      </x:c>
      <x:c r="I250" s="41" t="n">
        <x:v>0.06803685329553508</x:v>
      </x:c>
      <x:c r="J250" s="41" t="n">
        <x:v>0.015625</x:v>
      </x:c>
      <x:c r="K250" s="44" t="n">
        <x:v>1032.9366666666667</x:v>
      </x:c>
      <x:c r="L250" s="42" t="n">
        <x:v>0.343431833510283</x:v>
      </x:c>
      <x:c r="M250" s="44" t="n">
        <x:v>-2034.58</x:v>
      </x:c>
      <x:c r="N250" s="41" t="n">
        <x:v>-1.9117859861120245</x:v>
      </x:c>
    </x:row>
    <x:row r="251" ht="15" hidden="0" customHeight="1">
      <x:c r="A251" s="43" t="str">
        <x:v>2026-02-05</x:v>
      </x:c>
      <x:c r="B251" s="39" t="str">
        <x:v>Partnerships</x:v>
      </x:c>
      <x:c r="C251" s="39" t="n">
        <x:v>3083</x:v>
      </x:c>
      <x:c r="D251" s="39" t="n">
        <x:v>275</x:v>
      </x:c>
      <x:c r="E251" s="39" t="n">
        <x:v>3</x:v>
      </x:c>
      <x:c r="F251" s="44" t="n">
        <x:v>1360.23</x:v>
      </x:c>
      <x:c r="G251" s="44" t="n">
        <x:v>1565.8600000000001</x:v>
      </x:c>
      <x:c r="H251" s="39" t="n">
        <x:v>6</x:v>
      </x:c>
      <x:c r="I251" s="41" t="n">
        <x:v>0.08919883230619527</x:v>
      </x:c>
      <x:c r="J251" s="41" t="n">
        <x:v>0.01090909090909091</x:v>
      </x:c>
      <x:c r="K251" s="44" t="n">
        <x:v>453.41</x:v>
      </x:c>
      <x:c r="L251" s="42" t="n">
        <x:v>1.1511729633958963</x:v>
      </x:c>
      <x:c r="M251" s="44" t="n">
        <x:v>205.6300000000001</x:v>
      </x:c>
      <x:c r="N251" s="41" t="n">
        <x:v>0.13132080773504662</x:v>
      </x:c>
    </x:row>
    <x:row r="252" ht="15" hidden="0" customHeight="1">
      <x:c r="A252" s="43" t="str">
        <x:v>2026-02-05</x:v>
      </x:c>
      <x:c r="B252" s="39" t="str">
        <x:v>Referral</x:v>
      </x:c>
      <x:c r="C252" s="39" t="n">
        <x:v>2954</x:v>
      </x:c>
      <x:c r="D252" s="39" t="n">
        <x:v>179</x:v>
      </x:c>
      <x:c r="E252" s="39" t="n">
        <x:v>5</x:v>
      </x:c>
      <x:c r="F252" s="44" t="n">
        <x:v>642.01</x:v>
      </x:c>
      <x:c r="G252" s="44" t="n">
        <x:v>3155.52</x:v>
      </x:c>
      <x:c r="H252" s="39" t="n">
        <x:v>6</x:v>
      </x:c>
      <x:c r="I252" s="41" t="n">
        <x:v>0.06059580230196344</x:v>
      </x:c>
      <x:c r="J252" s="41" t="n">
        <x:v>0.027932960893854747</x:v>
      </x:c>
      <x:c r="K252" s="44" t="n">
        <x:v>128.402</x:v>
      </x:c>
      <x:c r="L252" s="42" t="n">
        <x:v>4.915063628292394</x:v>
      </x:c>
      <x:c r="M252" s="44" t="n">
        <x:v>2513.51</x:v>
      </x:c>
      <x:c r="N252" s="41" t="n">
        <x:v>0.7965438342967246</x:v>
      </x:c>
    </x:row>
    <x:row r="253" ht="15" hidden="0" customHeight="1">
      <x:c r="A253" s="43" t="str">
        <x:v>2026-02-05</x:v>
      </x:c>
      <x:c r="B253" s="39" t="str">
        <x:v>SEO</x:v>
      </x:c>
      <x:c r="C253" s="39" t="n">
        <x:v>2108</x:v>
      </x:c>
      <x:c r="D253" s="39" t="n">
        <x:v>141</x:v>
      </x:c>
      <x:c r="E253" s="39" t="n">
        <x:v>3</x:v>
      </x:c>
      <x:c r="F253" s="44" t="n">
        <x:v>1562.93</x:v>
      </x:c>
      <x:c r="G253" s="44" t="n">
        <x:v>1005.73</x:v>
      </x:c>
      <x:c r="H253" s="39" t="n">
        <x:v>6</x:v>
      </x:c>
      <x:c r="I253" s="41" t="n">
        <x:v>0.06688804554079697</x:v>
      </x:c>
      <x:c r="J253" s="41" t="n">
        <x:v>0.02127659574468085</x:v>
      </x:c>
      <x:c r="K253" s="44" t="n">
        <x:v>520.9766666666667</x:v>
      </x:c>
      <x:c r="L253" s="42" t="n">
        <x:v>0.6434901115213093</x:v>
      </x:c>
      <x:c r="M253" s="44" t="n">
        <x:v>-557.2</x:v>
      </x:c>
      <x:c r="N253" s="41" t="n">
        <x:v>-0.5540254342616806</x:v>
      </x:c>
    </x:row>
    <x:row r="254" ht="15" hidden="0" customHeight="1">
      <x:c r="A254" s="43" t="str">
        <x:v>2026-02-06</x:v>
      </x:c>
      <x:c r="B254" s="39" t="str">
        <x:v>Content</x:v>
      </x:c>
      <x:c r="C254" s="39" t="n">
        <x:v>1891</x:v>
      </x:c>
      <x:c r="D254" s="39" t="n">
        <x:v>144</x:v>
      </x:c>
      <x:c r="E254" s="39" t="n">
        <x:v>2</x:v>
      </x:c>
      <x:c r="F254" s="44" t="n">
        <x:v>1375.77</x:v>
      </x:c>
      <x:c r="G254" s="44" t="n">
        <x:v>788.8</x:v>
      </x:c>
      <x:c r="H254" s="39" t="n">
        <x:v>6</x:v>
      </x:c>
      <x:c r="I254" s="41" t="n">
        <x:v>0.07615018508725542</x:v>
      </x:c>
      <x:c r="J254" s="41" t="n">
        <x:v>0.013888888888888888</x:v>
      </x:c>
      <x:c r="K254" s="44" t="n">
        <x:v>687.885</x:v>
      </x:c>
      <x:c r="L254" s="42" t="n">
        <x:v>0.5733516503485321</x:v>
      </x:c>
      <x:c r="M254" s="44" t="n">
        <x:v>-586.97</x:v>
      </x:c>
      <x:c r="N254" s="41" t="n">
        <x:v>-0.7441303245436106</x:v>
      </x:c>
    </x:row>
    <x:row r="255" ht="15" hidden="0" customHeight="1">
      <x:c r="A255" s="43" t="str">
        <x:v>2026-02-06</x:v>
      </x:c>
      <x:c r="B255" s="39" t="str">
        <x:v>LinkedIn Ads</x:v>
      </x:c>
      <x:c r="C255" s="39" t="n">
        <x:v>2061</x:v>
      </x:c>
      <x:c r="D255" s="39" t="n">
        <x:v>125</x:v>
      </x:c>
      <x:c r="E255" s="39" t="n">
        <x:v>1</x:v>
      </x:c>
      <x:c r="F255" s="44" t="n">
        <x:v>1965.9099999999999</x:v>
      </x:c>
      <x:c r="G255" s="44" t="n">
        <x:v>256.99</x:v>
      </x:c>
      <x:c r="H255" s="39" t="n">
        <x:v>6</x:v>
      </x:c>
      <x:c r="I255" s="41" t="n">
        <x:v>0.0606501698204755</x:v>
      </x:c>
      <x:c r="J255" s="41" t="n">
        <x:v>0.008</x:v>
      </x:c>
      <x:c r="K255" s="44" t="n">
        <x:v>1965.9099999999999</x:v>
      </x:c>
      <x:c r="L255" s="42" t="n">
        <x:v>0.13072317654419582</x:v>
      </x:c>
      <x:c r="M255" s="44" t="n">
        <x:v>-1708.9199999999998</x:v>
      </x:c>
      <x:c r="N255" s="41" t="n">
        <x:v>-6.649752908673489</x:v>
      </x:c>
    </x:row>
    <x:row r="256" ht="15" hidden="0" customHeight="1">
      <x:c r="A256" s="43" t="str">
        <x:v>2026-02-06</x:v>
      </x:c>
      <x:c r="B256" s="39" t="str">
        <x:v>Outbound Sales</x:v>
      </x:c>
      <x:c r="C256" s="39" t="n">
        <x:v>3177</x:v>
      </x:c>
      <x:c r="D256" s="39" t="n">
        <x:v>103</x:v>
      </x:c>
      <x:c r="E256" s="39" t="n">
        <x:v>1</x:v>
      </x:c>
      <x:c r="F256" s="44" t="n">
        <x:v>2133.97</x:v>
      </x:c>
      <x:c r="G256" s="44" t="n">
        <x:v>884.39</x:v>
      </x:c>
      <x:c r="H256" s="39" t="n">
        <x:v>6</x:v>
      </x:c>
      <x:c r="I256" s="41" t="n">
        <x:v>0.032420522505508344</x:v>
      </x:c>
      <x:c r="J256" s="41" t="n">
        <x:v>0.009708737864077669</x:v>
      </x:c>
      <x:c r="K256" s="44" t="n">
        <x:v>2133.97</x:v>
      </x:c>
      <x:c r="L256" s="42" t="n">
        <x:v>0.41443412981438355</x:v>
      </x:c>
      <x:c r="M256" s="44" t="n">
        <x:v>-1249.58</x:v>
      </x:c>
      <x:c r="N256" s="41" t="n">
        <x:v>-1.4129286853085177</x:v>
      </x:c>
    </x:row>
    <x:row r="257" ht="15" hidden="0" customHeight="1">
      <x:c r="A257" s="43" t="str">
        <x:v>2026-02-06</x:v>
      </x:c>
      <x:c r="B257" s="39" t="str">
        <x:v>Paid Search</x:v>
      </x:c>
      <x:c r="C257" s="39" t="n">
        <x:v>2904</x:v>
      </x:c>
      <x:c r="D257" s="39" t="n">
        <x:v>192</x:v>
      </x:c>
      <x:c r="E257" s="39" t="n">
        <x:v>4</x:v>
      </x:c>
      <x:c r="F257" s="44" t="n">
        <x:v>3282.5499999999997</x:v>
      </x:c>
      <x:c r="G257" s="44" t="n">
        <x:v>2093.06</x:v>
      </x:c>
      <x:c r="H257" s="39" t="n">
        <x:v>6</x:v>
      </x:c>
      <x:c r="I257" s="41" t="n">
        <x:v>0.06611570247933884</x:v>
      </x:c>
      <x:c r="J257" s="41" t="n">
        <x:v>0.020833333333333332</x:v>
      </x:c>
      <x:c r="K257" s="44" t="n">
        <x:v>820.6374999999999</x:v>
      </x:c>
      <x:c r="L257" s="42" t="n">
        <x:v>0.6376323285250797</x:v>
      </x:c>
      <x:c r="M257" s="44" t="n">
        <x:v>-1189.4899999999998</x:v>
      </x:c>
      <x:c r="N257" s="41" t="n">
        <x:v>-0.5683019120330998</x:v>
      </x:c>
    </x:row>
    <x:row r="258" ht="15" hidden="0" customHeight="1">
      <x:c r="A258" s="43" t="str">
        <x:v>2026-02-06</x:v>
      </x:c>
      <x:c r="B258" s="39" t="str">
        <x:v>Partnerships</x:v>
      </x:c>
      <x:c r="C258" s="39" t="n">
        <x:v>2267</x:v>
      </x:c>
      <x:c r="D258" s="39" t="n">
        <x:v>142</x:v>
      </x:c>
      <x:c r="E258" s="39" t="n">
        <x:v>1</x:v>
      </x:c>
      <x:c r="F258" s="44" t="n">
        <x:v>1578.02</x:v>
      </x:c>
      <x:c r="G258" s="44" t="n">
        <x:v>753.3</x:v>
      </x:c>
      <x:c r="H258" s="39" t="n">
        <x:v>6</x:v>
      </x:c>
      <x:c r="I258" s="41" t="n">
        <x:v>0.06263784737538597</x:v>
      </x:c>
      <x:c r="J258" s="41" t="n">
        <x:v>0.007042253521126761</x:v>
      </x:c>
      <x:c r="K258" s="44" t="n">
        <x:v>1578.02</x:v>
      </x:c>
      <x:c r="L258" s="42" t="n">
        <x:v>0.4773703755338969</x:v>
      </x:c>
      <x:c r="M258" s="44" t="n">
        <x:v>-824.72</x:v>
      </x:c>
      <x:c r="N258" s="41" t="n">
        <x:v>-1.0948095048453472</x:v>
      </x:c>
    </x:row>
    <x:row r="259" ht="15" hidden="0" customHeight="1">
      <x:c r="A259" s="43" t="str">
        <x:v>2026-02-06</x:v>
      </x:c>
      <x:c r="B259" s="39" t="str">
        <x:v>Referral</x:v>
      </x:c>
      <x:c r="C259" s="39" t="n">
        <x:v>3418</x:v>
      </x:c>
      <x:c r="D259" s="39" t="n">
        <x:v>286</x:v>
      </x:c>
      <x:c r="E259" s="39" t="n">
        <x:v>8</x:v>
      </x:c>
      <x:c r="F259" s="44" t="n">
        <x:v>731.12</x:v>
      </x:c>
      <x:c r="G259" s="44" t="n">
        <x:v>4012.02</x:v>
      </x:c>
      <x:c r="H259" s="39" t="n">
        <x:v>6</x:v>
      </x:c>
      <x:c r="I259" s="41" t="n">
        <x:v>0.0836746635459333</x:v>
      </x:c>
      <x:c r="J259" s="41" t="n">
        <x:v>0.027972027972027972</x:v>
      </x:c>
      <x:c r="K259" s="44" t="n">
        <x:v>91.39</x:v>
      </x:c>
      <x:c r="L259" s="42" t="n">
        <x:v>5.487498632235474</x:v>
      </x:c>
      <x:c r="M259" s="44" t="n">
        <x:v>3280.9</x:v>
      </x:c>
      <x:c r="N259" s="41" t="n">
        <x:v>0.8177676083369475</x:v>
      </x:c>
    </x:row>
    <x:row r="260" ht="15" hidden="0" customHeight="1">
      <x:c r="A260" s="43" t="str">
        <x:v>2026-02-06</x:v>
      </x:c>
      <x:c r="B260" s="39" t="str">
        <x:v>SEO</x:v>
      </x:c>
      <x:c r="C260" s="39" t="n">
        <x:v>2578</x:v>
      </x:c>
      <x:c r="D260" s="39" t="n">
        <x:v>186</x:v>
      </x:c>
      <x:c r="E260" s="39" t="n">
        <x:v>3</x:v>
      </x:c>
      <x:c r="F260" s="44" t="n">
        <x:v>1634.1399999999999</x:v>
      </x:c>
      <x:c r="G260" s="44" t="n">
        <x:v>1516.14</x:v>
      </x:c>
      <x:c r="H260" s="39" t="n">
        <x:v>6</x:v>
      </x:c>
      <x:c r="I260" s="41" t="n">
        <x:v>0.0721489526764934</x:v>
      </x:c>
      <x:c r="J260" s="41" t="n">
        <x:v>0.016129032258064516</x:v>
      </x:c>
      <x:c r="K260" s="44" t="n">
        <x:v>544.7133333333333</x:v>
      </x:c>
      <x:c r="L260" s="42" t="n">
        <x:v>0.927790764561176</x:v>
      </x:c>
      <x:c r="M260" s="44" t="n">
        <x:v>-117.99999999999977</x:v>
      </x:c>
      <x:c r="N260" s="41" t="n">
        <x:v>-0.07782922421412256</x:v>
      </x:c>
    </x:row>
    <x:row r="261" ht="15" hidden="0" customHeight="1">
      <x:c r="A261" s="43" t="str">
        <x:v>2026-02-07</x:v>
      </x:c>
      <x:c r="B261" s="39" t="str">
        <x:v>Content</x:v>
      </x:c>
      <x:c r="C261" s="39" t="n">
        <x:v>1748</x:v>
      </x:c>
      <x:c r="D261" s="39" t="n">
        <x:v>119</x:v>
      </x:c>
      <x:c r="E261" s="39" t="n">
        <x:v>2</x:v>
      </x:c>
      <x:c r="F261" s="44" t="n">
        <x:v>1283.02</x:v>
      </x:c>
      <x:c r="G261" s="44" t="n">
        <x:v>1182.93</x:v>
      </x:c>
      <x:c r="H261" s="39" t="n">
        <x:v>6</x:v>
      </x:c>
      <x:c r="I261" s="41" t="n">
        <x:v>0.06807780320366133</x:v>
      </x:c>
      <x:c r="J261" s="41" t="n">
        <x:v>0.01680672268907563</x:v>
      </x:c>
      <x:c r="K261" s="44" t="n">
        <x:v>641.51</x:v>
      </x:c>
      <x:c r="L261" s="42" t="n">
        <x:v>0.9219887453040483</x:v>
      </x:c>
      <x:c r="M261" s="44" t="n">
        <x:v>-100.08999999999992</x:v>
      </x:c>
      <x:c r="N261" s="41" t="n">
        <x:v>-0.08461193815356777</x:v>
      </x:c>
    </x:row>
    <x:row r="262" ht="15" hidden="0" customHeight="1">
      <x:c r="A262" s="43" t="str">
        <x:v>2026-02-07</x:v>
      </x:c>
      <x:c r="B262" s="39" t="str">
        <x:v>LinkedIn Ads</x:v>
      </x:c>
      <x:c r="C262" s="39" t="n">
        <x:v>2224</x:v>
      </x:c>
      <x:c r="D262" s="39" t="n">
        <x:v>90</x:v>
      </x:c>
      <x:c r="E262" s="39" t="n">
        <x:v>1</x:v>
      </x:c>
      <x:c r="F262" s="44" t="n">
        <x:v>1622.6599999999999</x:v>
      </x:c>
      <x:c r="G262" s="44" t="n">
        <x:v>266.63</x:v>
      </x:c>
      <x:c r="H262" s="39" t="n">
        <x:v>6</x:v>
      </x:c>
      <x:c r="I262" s="41" t="n">
        <x:v>0.040467625899280574</x:v>
      </x:c>
      <x:c r="J262" s="41" t="n">
        <x:v>0.011111111111111112</x:v>
      </x:c>
      <x:c r="K262" s="44" t="n">
        <x:v>1622.6599999999999</x:v>
      </x:c>
      <x:c r="L262" s="42" t="n">
        <x:v>0.1643166159269348</x:v>
      </x:c>
      <x:c r="M262" s="44" t="n">
        <x:v>-1356.0299999999997</x:v>
      </x:c>
      <x:c r="N262" s="41" t="n">
        <x:v>-5.085811799122379</x:v>
      </x:c>
    </x:row>
    <x:row r="263" ht="15" hidden="0" customHeight="1">
      <x:c r="A263" s="43" t="str">
        <x:v>2026-02-07</x:v>
      </x:c>
      <x:c r="B263" s="39" t="str">
        <x:v>Outbound Sales</x:v>
      </x:c>
      <x:c r="C263" s="39" t="n">
        <x:v>3817</x:v>
      </x:c>
      <x:c r="D263" s="39" t="n">
        <x:v>223</x:v>
      </x:c>
      <x:c r="E263" s="39" t="n">
        <x:v>3</x:v>
      </x:c>
      <x:c r="F263" s="44" t="n">
        <x:v>1965.88</x:v>
      </x:c>
      <x:c r="G263" s="44" t="n">
        <x:v>1613.92</x:v>
      </x:c>
      <x:c r="H263" s="39" t="n">
        <x:v>6</x:v>
      </x:c>
      <x:c r="I263" s="41" t="n">
        <x:v>0.058422845166361016</x:v>
      </x:c>
      <x:c r="J263" s="41" t="n">
        <x:v>0.013452914798206279</x:v>
      </x:c>
      <x:c r="K263" s="44" t="n">
        <x:v>655.2933333333334</x:v>
      </x:c>
      <x:c r="L263" s="42" t="n">
        <x:v>0.8209656744053554</x:v>
      </x:c>
      <x:c r="M263" s="44" t="n">
        <x:v>-351.96000000000004</x:v>
      </x:c>
      <x:c r="N263" s="41" t="n">
        <x:v>-0.21807772380291465</x:v>
      </x:c>
    </x:row>
    <x:row r="264" ht="15" hidden="0" customHeight="1">
      <x:c r="A264" s="43" t="str">
        <x:v>2026-02-07</x:v>
      </x:c>
      <x:c r="B264" s="39" t="str">
        <x:v>Paid Search</x:v>
      </x:c>
      <x:c r="C264" s="39" t="n">
        <x:v>2275</x:v>
      </x:c>
      <x:c r="D264" s="39" t="n">
        <x:v>220</x:v>
      </x:c>
      <x:c r="E264" s="39" t="n">
        <x:v>2</x:v>
      </x:c>
      <x:c r="F264" s="44" t="n">
        <x:v>2836.67</x:v>
      </x:c>
      <x:c r="G264" s="44" t="n">
        <x:v>1023.07</x:v>
      </x:c>
      <x:c r="H264" s="39" t="n">
        <x:v>6</x:v>
      </x:c>
      <x:c r="I264" s="41" t="n">
        <x:v>0.0967032967032967</x:v>
      </x:c>
      <x:c r="J264" s="41" t="n">
        <x:v>0.00909090909090909</x:v>
      </x:c>
      <x:c r="K264" s="44" t="n">
        <x:v>1418.335</x:v>
      </x:c>
      <x:c r="L264" s="42" t="n">
        <x:v>0.36065880063595696</x:v>
      </x:c>
      <x:c r="M264" s="44" t="n">
        <x:v>-1813.6</x:v>
      </x:c>
      <x:c r="N264" s="41" t="n">
        <x:v>-1.772703725062801</x:v>
      </x:c>
    </x:row>
    <x:row r="265" ht="15" hidden="0" customHeight="1">
      <x:c r="A265" s="43" t="str">
        <x:v>2026-02-07</x:v>
      </x:c>
      <x:c r="B265" s="39" t="str">
        <x:v>Partnerships</x:v>
      </x:c>
      <x:c r="C265" s="39" t="n">
        <x:v>2622</x:v>
      </x:c>
      <x:c r="D265" s="39" t="n">
        <x:v>142</x:v>
      </x:c>
      <x:c r="E265" s="39" t="n">
        <x:v>2</x:v>
      </x:c>
      <x:c r="F265" s="44" t="n">
        <x:v>1338.75</x:v>
      </x:c>
      <x:c r="G265" s="44" t="n">
        <x:v>1339.37</x:v>
      </x:c>
      <x:c r="H265" s="39" t="n">
        <x:v>6</x:v>
      </x:c>
      <x:c r="I265" s="41" t="n">
        <x:v>0.05415713196033562</x:v>
      </x:c>
      <x:c r="J265" s="41" t="n">
        <x:v>0.014084507042253521</x:v>
      </x:c>
      <x:c r="K265" s="44" t="n">
        <x:v>669.375</x:v>
      </x:c>
      <x:c r="L265" s="42" t="n">
        <x:v>1.0004631185807655</x:v>
      </x:c>
      <x:c r="M265" s="44" t="n">
        <x:v>0.6199999999998909</x:v>
      </x:c>
      <x:c r="N265" s="41" t="n">
        <x:v>0.00046290420122885453</x:v>
      </x:c>
    </x:row>
    <x:row r="266" ht="15" hidden="0" customHeight="1">
      <x:c r="A266" s="43" t="str">
        <x:v>2026-02-07</x:v>
      </x:c>
      <x:c r="B266" s="39" t="str">
        <x:v>Referral</x:v>
      </x:c>
      <x:c r="C266" s="39" t="n">
        <x:v>2602</x:v>
      </x:c>
      <x:c r="D266" s="39" t="n">
        <x:v>225</x:v>
      </x:c>
      <x:c r="E266" s="39" t="n">
        <x:v>5</x:v>
      </x:c>
      <x:c r="F266" s="44" t="n">
        <x:v>771.1</x:v>
      </x:c>
      <x:c r="G266" s="44" t="n">
        <x:v>2535.87</x:v>
      </x:c>
      <x:c r="H266" s="39" t="n">
        <x:v>6</x:v>
      </x:c>
      <x:c r="I266" s="41" t="n">
        <x:v>0.08647194465795542</x:v>
      </x:c>
      <x:c r="J266" s="41" t="n">
        <x:v>0.022222222222222223</x:v>
      </x:c>
      <x:c r="K266" s="44" t="n">
        <x:v>154.22</x:v>
      </x:c>
      <x:c r="L266" s="42" t="n">
        <x:v>3.2886396057580076</x:v>
      </x:c>
      <x:c r="M266" s="44" t="n">
        <x:v>1764.77</x:v>
      </x:c>
      <x:c r="N266" s="41" t="n">
        <x:v>0.6959228982558254</x:v>
      </x:c>
    </x:row>
    <x:row r="267" ht="15" hidden="0" customHeight="1">
      <x:c r="A267" s="43" t="str">
        <x:v>2026-02-07</x:v>
      </x:c>
      <x:c r="B267" s="39" t="str">
        <x:v>SEO</x:v>
      </x:c>
      <x:c r="C267" s="39" t="n">
        <x:v>1806</x:v>
      </x:c>
      <x:c r="D267" s="39" t="n">
        <x:v>137</x:v>
      </x:c>
      <x:c r="E267" s="39" t="n">
        <x:v>3</x:v>
      </x:c>
      <x:c r="F267" s="44" t="n">
        <x:v>1712.86</x:v>
      </x:c>
      <x:c r="G267" s="44" t="n">
        <x:v>1326.3700000000001</x:v>
      </x:c>
      <x:c r="H267" s="39" t="n">
        <x:v>6</x:v>
      </x:c>
      <x:c r="I267" s="41" t="n">
        <x:v>0.07585825027685493</x:v>
      </x:c>
      <x:c r="J267" s="41" t="n">
        <x:v>0.021897810218978103</x:v>
      </x:c>
      <x:c r="K267" s="44" t="n">
        <x:v>570.9533333333333</x:v>
      </x:c>
      <x:c r="L267" s="42" t="n">
        <x:v>0.7743598426024312</x:v>
      </x:c>
      <x:c r="M267" s="44" t="n">
        <x:v>-386.4899999999998</x:v>
      </x:c>
      <x:c r="N267" s="41" t="n">
        <x:v>-0.29138928051750246</x:v>
      </x:c>
    </x:row>
    <x:row r="268" ht="15" hidden="0" customHeight="1">
      <x:c r="A268" s="43" t="str">
        <x:v>2026-02-08</x:v>
      </x:c>
      <x:c r="B268" s="39" t="str">
        <x:v>Content</x:v>
      </x:c>
      <x:c r="C268" s="39" t="n">
        <x:v>2078</x:v>
      </x:c>
      <x:c r="D268" s="39" t="n">
        <x:v>75</x:v>
      </x:c>
      <x:c r="E268" s="39" t="n">
        <x:v>1</x:v>
      </x:c>
      <x:c r="F268" s="44" t="n">
        <x:v>1193.49</x:v>
      </x:c>
      <x:c r="G268" s="44" t="n">
        <x:v>679.7</x:v>
      </x:c>
      <x:c r="H268" s="39" t="n">
        <x:v>6</x:v>
      </x:c>
      <x:c r="I268" s="41" t="n">
        <x:v>0.03609239653512993</x:v>
      </x:c>
      <x:c r="J268" s="41" t="n">
        <x:v>0.013333333333333334</x:v>
      </x:c>
      <x:c r="K268" s="44" t="n">
        <x:v>1193.49</x:v>
      </x:c>
      <x:c r="L268" s="42" t="n">
        <x:v>0.5695062380078594</x:v>
      </x:c>
      <x:c r="M268" s="44" t="n">
        <x:v>-513.79</x:v>
      </x:c>
      <x:c r="N268" s="41" t="n">
        <x:v>-0.7559070178019713</x:v>
      </x:c>
    </x:row>
    <x:row r="269" ht="15" hidden="0" customHeight="1">
      <x:c r="A269" s="43" t="str">
        <x:v>2026-02-08</x:v>
      </x:c>
      <x:c r="B269" s="39" t="str">
        <x:v>LinkedIn Ads</x:v>
      </x:c>
      <x:c r="C269" s="39" t="n">
        <x:v>2637</x:v>
      </x:c>
      <x:c r="D269" s="39" t="n">
        <x:v>108</x:v>
      </x:c>
      <x:c r="E269" s="39" t="n">
        <x:v>1</x:v>
      </x:c>
      <x:c r="F269" s="44" t="n">
        <x:v>1468.9</x:v>
      </x:c>
      <x:c r="G269" s="44" t="n">
        <x:v>887.82</x:v>
      </x:c>
      <x:c r="H269" s="39" t="n">
        <x:v>6</x:v>
      </x:c>
      <x:c r="I269" s="41" t="n">
        <x:v>0.040955631399317405</x:v>
      </x:c>
      <x:c r="J269" s="41" t="n">
        <x:v>0.009259259259259259</x:v>
      </x:c>
      <x:c r="K269" s="44" t="n">
        <x:v>1468.9</x:v>
      </x:c>
      <x:c r="L269" s="42" t="n">
        <x:v>0.6044114643610865</x:v>
      </x:c>
      <x:c r="M269" s="44" t="n">
        <x:v>-581.08</x:v>
      </x:c>
      <x:c r="N269" s="41" t="n">
        <x:v>-0.6545020387015386</x:v>
      </x:c>
    </x:row>
    <x:row r="270" ht="15" hidden="0" customHeight="1">
      <x:c r="A270" s="43" t="str">
        <x:v>2026-02-08</x:v>
      </x:c>
      <x:c r="B270" s="39" t="str">
        <x:v>Outbound Sales</x:v>
      </x:c>
      <x:c r="C270" s="39" t="n">
        <x:v>2955</x:v>
      </x:c>
      <x:c r="D270" s="39" t="n">
        <x:v>221</x:v>
      </x:c>
      <x:c r="E270" s="39" t="n">
        <x:v>2</x:v>
      </x:c>
      <x:c r="F270" s="44" t="n">
        <x:v>2065.4</x:v>
      </x:c>
      <x:c r="G270" s="44" t="n">
        <x:v>1599.98</x:v>
      </x:c>
      <x:c r="H270" s="39" t="n">
        <x:v>6</x:v>
      </x:c>
      <x:c r="I270" s="41" t="n">
        <x:v>0.07478849407783418</x:v>
      </x:c>
      <x:c r="J270" s="41" t="n">
        <x:v>0.00904977375565611</x:v>
      </x:c>
      <x:c r="K270" s="44" t="n">
        <x:v>1032.7</x:v>
      </x:c>
      <x:c r="L270" s="42" t="n">
        <x:v>0.7746586617604337</x:v>
      </x:c>
      <x:c r="M270" s="44" t="n">
        <x:v>-465.4200000000001</x:v>
      </x:c>
      <x:c r="N270" s="41" t="n">
        <x:v>-0.29089113613920176</x:v>
      </x:c>
    </x:row>
    <x:row r="271" ht="15" hidden="0" customHeight="1">
      <x:c r="A271" s="43" t="str">
        <x:v>2026-02-08</x:v>
      </x:c>
      <x:c r="B271" s="39" t="str">
        <x:v>Paid Search</x:v>
      </x:c>
      <x:c r="C271" s="39" t="n">
        <x:v>2867</x:v>
      </x:c>
      <x:c r="D271" s="39" t="n">
        <x:v>192</x:v>
      </x:c>
      <x:c r="E271" s="39" t="n">
        <x:v>2</x:v>
      </x:c>
      <x:c r="F271" s="44" t="n">
        <x:v>2673.79</x:v>
      </x:c>
      <x:c r="G271" s="44" t="n">
        <x:v>1438.55</x:v>
      </x:c>
      <x:c r="H271" s="39" t="n">
        <x:v>6</x:v>
      </x:c>
      <x:c r="I271" s="41" t="n">
        <x:v>0.06696895709801186</x:v>
      </x:c>
      <x:c r="J271" s="41" t="n">
        <x:v>0.010416666666666666</x:v>
      </x:c>
      <x:c r="K271" s="44" t="n">
        <x:v>1336.895</x:v>
      </x:c>
      <x:c r="L271" s="42" t="n">
        <x:v>0.5380190665684291</x:v>
      </x:c>
      <x:c r="M271" s="44" t="n">
        <x:v>-1235.24</x:v>
      </x:c>
      <x:c r="N271" s="41" t="n">
        <x:v>-0.8586701887317091</x:v>
      </x:c>
    </x:row>
    <x:row r="272" ht="15" hidden="0" customHeight="1">
      <x:c r="A272" s="43" t="str">
        <x:v>2026-02-08</x:v>
      </x:c>
      <x:c r="B272" s="39" t="str">
        <x:v>Partnerships</x:v>
      </x:c>
      <x:c r="C272" s="39" t="n">
        <x:v>2561</x:v>
      </x:c>
      <x:c r="D272" s="39" t="n">
        <x:v>96</x:v>
      </x:c>
      <x:c r="E272" s="39" t="n">
        <x:v>1</x:v>
      </x:c>
      <x:c r="F272" s="44" t="n">
        <x:v>1314.97</x:v>
      </x:c>
      <x:c r="G272" s="44" t="n">
        <x:v>650.63</x:v>
      </x:c>
      <x:c r="H272" s="39" t="n">
        <x:v>6</x:v>
      </x:c>
      <x:c r="I272" s="41" t="n">
        <x:v>0.037485357282311595</x:v>
      </x:c>
      <x:c r="J272" s="41" t="n">
        <x:v>0.010416666666666666</x:v>
      </x:c>
      <x:c r="K272" s="44" t="n">
        <x:v>1314.97</x:v>
      </x:c>
      <x:c r="L272" s="42" t="n">
        <x:v>0.49478695331452427</x:v>
      </x:c>
      <x:c r="M272" s="44" t="n">
        <x:v>-664.34</x:v>
      </x:c>
      <x:c r="N272" s="41" t="n">
        <x:v>-1.021071884173801</x:v>
      </x:c>
    </x:row>
    <x:row r="273" ht="15" hidden="0" customHeight="1">
      <x:c r="A273" s="43" t="str">
        <x:v>2026-02-08</x:v>
      </x:c>
      <x:c r="B273" s="39" t="str">
        <x:v>Referral</x:v>
      </x:c>
      <x:c r="C273" s="39" t="n">
        <x:v>3372</x:v>
      </x:c>
      <x:c r="D273" s="39" t="n">
        <x:v>279</x:v>
      </x:c>
      <x:c r="E273" s="39" t="n">
        <x:v>8</x:v>
      </x:c>
      <x:c r="F273" s="44" t="n">
        <x:v>786.6</x:v>
      </x:c>
      <x:c r="G273" s="44" t="n">
        <x:v>3517.93</x:v>
      </x:c>
      <x:c r="H273" s="39" t="n">
        <x:v>6</x:v>
      </x:c>
      <x:c r="I273" s="41" t="n">
        <x:v>0.08274021352313167</x:v>
      </x:c>
      <x:c r="J273" s="41" t="n">
        <x:v>0.02867383512544803</x:v>
      </x:c>
      <x:c r="K273" s="44" t="n">
        <x:v>98.325</x:v>
      </x:c>
      <x:c r="L273" s="42" t="n">
        <x:v>4.472323925756419</x:v>
      </x:c>
      <x:c r="M273" s="44" t="n">
        <x:v>2731.33</x:v>
      </x:c>
      <x:c r="N273" s="41" t="n">
        <x:v>0.7764026003928447</x:v>
      </x:c>
    </x:row>
    <x:row r="274" ht="15" hidden="0" customHeight="1">
      <x:c r="A274" s="43" t="str">
        <x:v>2026-02-08</x:v>
      </x:c>
      <x:c r="B274" s="39" t="str">
        <x:v>SEO</x:v>
      </x:c>
      <x:c r="C274" s="39" t="n">
        <x:v>2564</x:v>
      </x:c>
      <x:c r="D274" s="39" t="n">
        <x:v>100</x:v>
      </x:c>
      <x:c r="E274" s="39" t="n">
        <x:v>2</x:v>
      </x:c>
      <x:c r="F274" s="44" t="n">
        <x:v>1585.77</x:v>
      </x:c>
      <x:c r="G274" s="44" t="n">
        <x:v>1368.75</x:v>
      </x:c>
      <x:c r="H274" s="39" t="n">
        <x:v>6</x:v>
      </x:c>
      <x:c r="I274" s="41" t="n">
        <x:v>0.0390015600624025</x:v>
      </x:c>
      <x:c r="J274" s="41" t="n">
        <x:v>0.02</x:v>
      </x:c>
      <x:c r="K274" s="44" t="n">
        <x:v>792.885</x:v>
      </x:c>
      <x:c r="L274" s="42" t="n">
        <x:v>0.8631453489471992</x:v>
      </x:c>
      <x:c r="M274" s="44" t="n">
        <x:v>-217.01999999999998</x:v>
      </x:c>
      <x:c r="N274" s="41" t="n">
        <x:v>-0.15855342465753422</x:v>
      </x:c>
    </x:row>
    <x:row r="275" ht="15" hidden="0" customHeight="1">
      <x:c r="A275" s="43" t="str">
        <x:v>2026-02-09</x:v>
      </x:c>
      <x:c r="B275" s="39" t="str">
        <x:v>Content</x:v>
      </x:c>
      <x:c r="C275" s="39" t="n">
        <x:v>1678</x:v>
      </x:c>
      <x:c r="D275" s="39" t="n">
        <x:v>103</x:v>
      </x:c>
      <x:c r="E275" s="39" t="n">
        <x:v>1</x:v>
      </x:c>
      <x:c r="F275" s="44" t="n">
        <x:v>935.33</x:v>
      </x:c>
      <x:c r="G275" s="44" t="n">
        <x:v>368.72</x:v>
      </x:c>
      <x:c r="H275" s="39" t="n">
        <x:v>6</x:v>
      </x:c>
      <x:c r="I275" s="41" t="n">
        <x:v>0.06138259833134684</x:v>
      </x:c>
      <x:c r="J275" s="41" t="n">
        <x:v>0.009708737864077669</x:v>
      </x:c>
      <x:c r="K275" s="44" t="n">
        <x:v>935.33</x:v>
      </x:c>
      <x:c r="L275" s="42" t="n">
        <x:v>0.3942138068916853</x:v>
      </x:c>
      <x:c r="M275" s="44" t="n">
        <x:v>-566.61</x:v>
      </x:c>
      <x:c r="N275" s="41" t="n">
        <x:v>-1.5366945107398566</x:v>
      </x:c>
    </x:row>
    <x:row r="276" ht="15" hidden="0" customHeight="1">
      <x:c r="A276" s="43" t="str">
        <x:v>2026-02-09</x:v>
      </x:c>
      <x:c r="B276" s="39" t="str">
        <x:v>LinkedIn Ads</x:v>
      </x:c>
      <x:c r="C276" s="39" t="n">
        <x:v>2460</x:v>
      </x:c>
      <x:c r="D276" s="39" t="n">
        <x:v>108</x:v>
      </x:c>
      <x:c r="E276" s="39" t="n">
        <x:v>1</x:v>
      </x:c>
      <x:c r="F276" s="44" t="n">
        <x:v>1306.19</x:v>
      </x:c>
      <x:c r="G276" s="44" t="n">
        <x:v>251.96</x:v>
      </x:c>
      <x:c r="H276" s="39" t="n">
        <x:v>6</x:v>
      </x:c>
      <x:c r="I276" s="41" t="n">
        <x:v>0.04390243902439024</x:v>
      </x:c>
      <x:c r="J276" s="41" t="n">
        <x:v>0.009259259259259259</x:v>
      </x:c>
      <x:c r="K276" s="44" t="n">
        <x:v>1306.19</x:v>
      </x:c>
      <x:c r="L276" s="42" t="n">
        <x:v>0.19289689861352483</x:v>
      </x:c>
      <x:c r="M276" s="44" t="n">
        <x:v>-1054.23</x:v>
      </x:c>
      <x:c r="N276" s="41" t="n">
        <x:v>-4.184116526432767</x:v>
      </x:c>
    </x:row>
    <x:row r="277" ht="15" hidden="0" customHeight="1">
      <x:c r="A277" s="43" t="str">
        <x:v>2026-02-09</x:v>
      </x:c>
      <x:c r="B277" s="39" t="str">
        <x:v>Outbound Sales</x:v>
      </x:c>
      <x:c r="C277" s="39" t="n">
        <x:v>2532</x:v>
      </x:c>
      <x:c r="D277" s="39" t="n">
        <x:v>156</x:v>
      </x:c>
      <x:c r="E277" s="39" t="n">
        <x:v>1</x:v>
      </x:c>
      <x:c r="F277" s="44" t="n">
        <x:v>1393.6100000000001</x:v>
      </x:c>
      <x:c r="G277" s="44" t="n">
        <x:v>863.19</x:v>
      </x:c>
      <x:c r="H277" s="39" t="n">
        <x:v>6</x:v>
      </x:c>
      <x:c r="I277" s="41" t="n">
        <x:v>0.061611374407582936</x:v>
      </x:c>
      <x:c r="J277" s="41" t="n">
        <x:v>0.00641025641025641</x:v>
      </x:c>
      <x:c r="K277" s="44" t="n">
        <x:v>1393.6100000000001</x:v>
      </x:c>
      <x:c r="L277" s="42" t="n">
        <x:v>0.6193913648725253</x:v>
      </x:c>
      <x:c r="M277" s="44" t="n">
        <x:v>-530.4200000000001</x:v>
      </x:c>
      <x:c r="N277" s="41" t="n">
        <x:v>-0.6144881196492082</x:v>
      </x:c>
    </x:row>
    <x:row r="278" ht="15" hidden="0" customHeight="1">
      <x:c r="A278" s="43" t="str">
        <x:v>2026-02-09</x:v>
      </x:c>
      <x:c r="B278" s="39" t="str">
        <x:v>Paid Search</x:v>
      </x:c>
      <x:c r="C278" s="39" t="n">
        <x:v>3659</x:v>
      </x:c>
      <x:c r="D278" s="39" t="n">
        <x:v>214</x:v>
      </x:c>
      <x:c r="E278" s="39" t="n">
        <x:v>3</x:v>
      </x:c>
      <x:c r="F278" s="44" t="n">
        <x:v>2224.4700000000003</x:v>
      </x:c>
      <x:c r="G278" s="44" t="n">
        <x:v>1315.05</x:v>
      </x:c>
      <x:c r="H278" s="39" t="n">
        <x:v>6</x:v>
      </x:c>
      <x:c r="I278" s="41" t="n">
        <x:v>0.05848592511615196</x:v>
      </x:c>
      <x:c r="J278" s="41" t="n">
        <x:v>0.014018691588785047</x:v>
      </x:c>
      <x:c r="K278" s="44" t="n">
        <x:v>741.4900000000001</x:v>
      </x:c>
      <x:c r="L278" s="42" t="n">
        <x:v>0.5911745269659738</x:v>
      </x:c>
      <x:c r="M278" s="44" t="n">
        <x:v>-909.4200000000003</x:v>
      </x:c>
      <x:c r="N278" s="41" t="n">
        <x:v>-0.6915478498916393</x:v>
      </x:c>
    </x:row>
    <x:row r="279" ht="15" hidden="0" customHeight="1">
      <x:c r="A279" s="43" t="str">
        <x:v>2026-02-09</x:v>
      </x:c>
      <x:c r="B279" s="39" t="str">
        <x:v>Partnerships</x:v>
      </x:c>
      <x:c r="C279" s="39" t="n">
        <x:v>2153</x:v>
      </x:c>
      <x:c r="D279" s="39" t="n">
        <x:v>226</x:v>
      </x:c>
      <x:c r="E279" s="39" t="n">
        <x:v>2</x:v>
      </x:c>
      <x:c r="F279" s="44" t="n">
        <x:v>1027.35</x:v>
      </x:c>
      <x:c r="G279" s="44" t="n">
        <x:v>1021.14</x:v>
      </x:c>
      <x:c r="H279" s="39" t="n">
        <x:v>6</x:v>
      </x:c>
      <x:c r="I279" s="41" t="n">
        <x:v>0.1049698095680446</x:v>
      </x:c>
      <x:c r="J279" s="41" t="n">
        <x:v>0.008849557522123894</x:v>
      </x:c>
      <x:c r="K279" s="44" t="n">
        <x:v>513.675</x:v>
      </x:c>
      <x:c r="L279" s="42" t="n">
        <x:v>0.9939553219448095</x:v>
      </x:c>
      <x:c r="M279" s="44" t="n">
        <x:v>-6.209999999999923</x:v>
      </x:c>
      <x:c r="N279" s="41" t="n">
        <x:v>-0.006081438392384906</x:v>
      </x:c>
    </x:row>
    <x:row r="280" ht="15" hidden="0" customHeight="1">
      <x:c r="A280" s="43" t="str">
        <x:v>2026-02-09</x:v>
      </x:c>
      <x:c r="B280" s="39" t="str">
        <x:v>Referral</x:v>
      </x:c>
      <x:c r="C280" s="39" t="n">
        <x:v>2558</x:v>
      </x:c>
      <x:c r="D280" s="39" t="n">
        <x:v>142</x:v>
      </x:c>
      <x:c r="E280" s="39" t="n">
        <x:v>6</x:v>
      </x:c>
      <x:c r="F280" s="44" t="n">
        <x:v>459.9</x:v>
      </x:c>
      <x:c r="G280" s="44" t="n">
        <x:v>3115.54</x:v>
      </x:c>
      <x:c r="H280" s="39" t="n">
        <x:v>6</x:v>
      </x:c>
      <x:c r="I280" s="41" t="n">
        <x:v>0.05551211884284597</x:v>
      </x:c>
      <x:c r="J280" s="41" t="n">
        <x:v>0.04225352112676056</x:v>
      </x:c>
      <x:c r="K280" s="44" t="n">
        <x:v>76.64999999999999</x:v>
      </x:c>
      <x:c r="L280" s="42" t="n">
        <x:v>6.774385736029572</x:v>
      </x:c>
      <x:c r="M280" s="44" t="n">
        <x:v>2655.64</x:v>
      </x:c>
      <x:c r="N280" s="41" t="n">
        <x:v>0.8523851402967062</x:v>
      </x:c>
    </x:row>
    <x:row r="281" ht="15" hidden="0" customHeight="1">
      <x:c r="A281" s="43" t="str">
        <x:v>2026-02-09</x:v>
      </x:c>
      <x:c r="B281" s="39" t="str">
        <x:v>SEO</x:v>
      </x:c>
      <x:c r="C281" s="39" t="n">
        <x:v>2079</x:v>
      </x:c>
      <x:c r="D281" s="39" t="n">
        <x:v>89</x:v>
      </x:c>
      <x:c r="E281" s="39" t="n">
        <x:v>1</x:v>
      </x:c>
      <x:c r="F281" s="44" t="n">
        <x:v>1167.01</x:v>
      </x:c>
      <x:c r="G281" s="44" t="n">
        <x:v>336.07</x:v>
      </x:c>
      <x:c r="H281" s="39" t="n">
        <x:v>6</x:v>
      </x:c>
      <x:c r="I281" s="41" t="n">
        <x:v>0.04280904280904281</x:v>
      </x:c>
      <x:c r="J281" s="41" t="n">
        <x:v>0.011235955056179775</x:v>
      </x:c>
      <x:c r="K281" s="44" t="n">
        <x:v>1167.01</x:v>
      </x:c>
      <x:c r="L281" s="42" t="n">
        <x:v>0.2879752529969752</x:v>
      </x:c>
      <x:c r="M281" s="44" t="n">
        <x:v>-830.94</x:v>
      </x:c>
      <x:c r="N281" s="41" t="n">
        <x:v>-2.4725206058261673</x:v>
      </x:c>
    </x:row>
    <x:row r="282" ht="15" hidden="0" customHeight="1">
      <x:c r="A282" s="43" t="str">
        <x:v>2026-02-10</x:v>
      </x:c>
      <x:c r="B282" s="39" t="str">
        <x:v>Content</x:v>
      </x:c>
      <x:c r="C282" s="39" t="n">
        <x:v>1729</x:v>
      </x:c>
      <x:c r="D282" s="39" t="n">
        <x:v>89</x:v>
      </x:c>
      <x:c r="E282" s="39" t="n">
        <x:v>1</x:v>
      </x:c>
      <x:c r="F282" s="44" t="n">
        <x:v>693.9000000000001</x:v>
      </x:c>
      <x:c r="G282" s="44" t="n">
        <x:v>300.06</x:v>
      </x:c>
      <x:c r="H282" s="39" t="n">
        <x:v>6</x:v>
      </x:c>
      <x:c r="I282" s="41" t="n">
        <x:v>0.05147484094852516</x:v>
      </x:c>
      <x:c r="J282" s="41" t="n">
        <x:v>0.011235955056179775</x:v>
      </x:c>
      <x:c r="K282" s="44" t="n">
        <x:v>693.9000000000001</x:v>
      </x:c>
      <x:c r="L282" s="42" t="n">
        <x:v>0.43242542153047986</x:v>
      </x:c>
      <x:c r="M282" s="44" t="n">
        <x:v>-393.8400000000001</x:v>
      </x:c>
      <x:c r="N282" s="41" t="n">
        <x:v>-1.3125374925015</x:v>
      </x:c>
    </x:row>
    <x:row r="283" ht="15" hidden="0" customHeight="1">
      <x:c r="A283" s="43" t="str">
        <x:v>2026-02-10</x:v>
      </x:c>
      <x:c r="B283" s="39" t="str">
        <x:v>LinkedIn Ads</x:v>
      </x:c>
      <x:c r="C283" s="39" t="n">
        <x:v>2103</x:v>
      </x:c>
      <x:c r="D283" s="39" t="n">
        <x:v>140</x:v>
      </x:c>
      <x:c r="E283" s="39" t="n">
        <x:v>1</x:v>
      </x:c>
      <x:c r="F283" s="44" t="n">
        <x:v>1024.53</x:v>
      </x:c>
      <x:c r="G283" s="44" t="n">
        <x:v>357.4</x:v>
      </x:c>
      <x:c r="H283" s="39" t="n">
        <x:v>6</x:v>
      </x:c>
      <x:c r="I283" s="41" t="n">
        <x:v>0.06657156443176415</x:v>
      </x:c>
      <x:c r="J283" s="41" t="n">
        <x:v>0.007142857142857143</x:v>
      </x:c>
      <x:c r="K283" s="44" t="n">
        <x:v>1024.53</x:v>
      </x:c>
      <x:c r="L283" s="42" t="n">
        <x:v>0.34884288405415165</x:v>
      </x:c>
      <x:c r="M283" s="44" t="n">
        <x:v>-667.13</x:v>
      </x:c>
      <x:c r="N283" s="41" t="n">
        <x:v>-1.8666200335758256</x:v>
      </x:c>
    </x:row>
    <x:row r="284" ht="15" hidden="0" customHeight="1">
      <x:c r="A284" s="43" t="str">
        <x:v>2026-02-10</x:v>
      </x:c>
      <x:c r="B284" s="39" t="str">
        <x:v>Outbound Sales</x:v>
      </x:c>
      <x:c r="C284" s="39" t="n">
        <x:v>2748</x:v>
      </x:c>
      <x:c r="D284" s="39" t="n">
        <x:v>106</x:v>
      </x:c>
      <x:c r="E284" s="39" t="n">
        <x:v>1</x:v>
      </x:c>
      <x:c r="F284" s="44" t="n">
        <x:v>948.24</x:v>
      </x:c>
      <x:c r="G284" s="44" t="n">
        <x:v>616.63</x:v>
      </x:c>
      <x:c r="H284" s="39" t="n">
        <x:v>6</x:v>
      </x:c>
      <x:c r="I284" s="41" t="n">
        <x:v>0.03857350800582242</x:v>
      </x:c>
      <x:c r="J284" s="41" t="n">
        <x:v>0.009433962264150943</x:v>
      </x:c>
      <x:c r="K284" s="44" t="n">
        <x:v>948.24</x:v>
      </x:c>
      <x:c r="L284" s="42" t="n">
        <x:v>0.6502889563823504</x:v>
      </x:c>
      <x:c r="M284" s="44" t="n">
        <x:v>-331.61</x:v>
      </x:c>
      <x:c r="N284" s="41" t="n">
        <x:v>-0.5377779219304932</x:v>
      </x:c>
    </x:row>
    <x:row r="285" ht="15" hidden="0" customHeight="1">
      <x:c r="A285" s="43" t="str">
        <x:v>2026-02-10</x:v>
      </x:c>
      <x:c r="B285" s="39" t="str">
        <x:v>Paid Search</x:v>
      </x:c>
      <x:c r="C285" s="39" t="n">
        <x:v>2463</x:v>
      </x:c>
      <x:c r="D285" s="39" t="n">
        <x:v>108</x:v>
      </x:c>
      <x:c r="E285" s="39" t="n">
        <x:v>1</x:v>
      </x:c>
      <x:c r="F285" s="44" t="n">
        <x:v>1702.52</x:v>
      </x:c>
      <x:c r="G285" s="44" t="n">
        <x:v>350.16</x:v>
      </x:c>
      <x:c r="H285" s="39" t="n">
        <x:v>6</x:v>
      </x:c>
      <x:c r="I285" s="41" t="n">
        <x:v>0.0438489646772229</x:v>
      </x:c>
      <x:c r="J285" s="41" t="n">
        <x:v>0.009259259259259259</x:v>
      </x:c>
      <x:c r="K285" s="44" t="n">
        <x:v>1702.52</x:v>
      </x:c>
      <x:c r="L285" s="42" t="n">
        <x:v>0.20567159269788315</x:v>
      </x:c>
      <x:c r="M285" s="44" t="n">
        <x:v>-1352.36</x:v>
      </x:c>
      <x:c r="N285" s="41" t="n">
        <x:v>-3.862120173634909</x:v>
      </x:c>
    </x:row>
    <x:row r="286" ht="15" hidden="0" customHeight="1">
      <x:c r="A286" s="43" t="str">
        <x:v>2026-02-10</x:v>
      </x:c>
      <x:c r="B286" s="39" t="str">
        <x:v>Partnerships</x:v>
      </x:c>
      <x:c r="C286" s="39" t="n">
        <x:v>1603</x:v>
      </x:c>
      <x:c r="D286" s="39" t="n">
        <x:v>150</x:v>
      </x:c>
      <x:c r="E286" s="39" t="n">
        <x:v>1</x:v>
      </x:c>
      <x:c r="F286" s="44" t="n">
        <x:v>754.23</x:v>
      </x:c>
      <x:c r="G286" s="44" t="n">
        <x:v>363.85</x:v>
      </x:c>
      <x:c r="H286" s="39" t="n">
        <x:v>6</x:v>
      </x:c>
      <x:c r="I286" s="41" t="n">
        <x:v>0.09357454772301933</x:v>
      </x:c>
      <x:c r="J286" s="41" t="n">
        <x:v>0.006666666666666667</x:v>
      </x:c>
      <x:c r="K286" s="44" t="n">
        <x:v>754.23</x:v>
      </x:c>
      <x:c r="L286" s="42" t="n">
        <x:v>0.4824125266828421</x:v>
      </x:c>
      <x:c r="M286" s="44" t="n">
        <x:v>-390.38</x:v>
      </x:c>
      <x:c r="N286" s="41" t="n">
        <x:v>-1.0729146626357013</x:v>
      </x:c>
    </x:row>
    <x:row r="287" ht="15" hidden="0" customHeight="1">
      <x:c r="A287" s="43" t="str">
        <x:v>2026-02-10</x:v>
      </x:c>
      <x:c r="B287" s="39" t="str">
        <x:v>Referral</x:v>
      </x:c>
      <x:c r="C287" s="39" t="n">
        <x:v>2615</x:v>
      </x:c>
      <x:c r="D287" s="39" t="n">
        <x:v>211</x:v>
      </x:c>
      <x:c r="E287" s="39" t="n">
        <x:v>6</x:v>
      </x:c>
      <x:c r="F287" s="44" t="n">
        <x:v>301.56</x:v>
      </x:c>
      <x:c r="G287" s="44" t="n">
        <x:v>3039.57</x:v>
      </x:c>
      <x:c r="H287" s="39" t="n">
        <x:v>6</x:v>
      </x:c>
      <x:c r="I287" s="41" t="n">
        <x:v>0.08068833652007648</x:v>
      </x:c>
      <x:c r="J287" s="41" t="n">
        <x:v>0.02843601895734597</x:v>
      </x:c>
      <x:c r="K287" s="44" t="n">
        <x:v>50.26</x:v>
      </x:c>
      <x:c r="L287" s="42" t="n">
        <x:v>10.07948666931954</x:v>
      </x:c>
      <x:c r="M287" s="44" t="n">
        <x:v>2738.01</x:v>
      </x:c>
      <x:c r="N287" s="41" t="n">
        <x:v>0.9007885983872719</x:v>
      </x:c>
    </x:row>
    <x:row r="288" ht="15" hidden="0" customHeight="1">
      <x:c r="A288" s="43" t="str">
        <x:v>2026-02-10</x:v>
      </x:c>
      <x:c r="B288" s="39" t="str">
        <x:v>SEO</x:v>
      </x:c>
      <x:c r="C288" s="39" t="n">
        <x:v>1608</x:v>
      </x:c>
      <x:c r="D288" s="39" t="n">
        <x:v>89</x:v>
      </x:c>
      <x:c r="E288" s="39" t="n">
        <x:v>1</x:v>
      </x:c>
      <x:c r="F288" s="44" t="n">
        <x:v>844.74</x:v>
      </x:c>
      <x:c r="G288" s="44" t="n">
        <x:v>257.08</x:v>
      </x:c>
      <x:c r="H288" s="39" t="n">
        <x:v>6</x:v>
      </x:c>
      <x:c r="I288" s="41" t="n">
        <x:v>0.05534825870646766</x:v>
      </x:c>
      <x:c r="J288" s="41" t="n">
        <x:v>0.011235955056179775</x:v>
      </x:c>
      <x:c r="K288" s="44" t="n">
        <x:v>844.74</x:v>
      </x:c>
      <x:c r="L288" s="42" t="n">
        <x:v>0.3043303264909913</x:v>
      </x:c>
      <x:c r="M288" s="44" t="n">
        <x:v>-587.6600000000001</x:v>
      </x:c>
      <x:c r="N288" s="41" t="n">
        <x:v>-2.2859032207873042</x:v>
      </x:c>
    </x:row>
    <x:row r="289" ht="15" hidden="0" customHeight="1">
      <x:c r="A289" s="43" t="str">
        <x:v>2026-02-11</x:v>
      </x:c>
      <x:c r="B289" s="39" t="str">
        <x:v>Content</x:v>
      </x:c>
      <x:c r="C289" s="39" t="n">
        <x:v>1888</x:v>
      </x:c>
      <x:c r="D289" s="39" t="n">
        <x:v>104</x:v>
      </x:c>
      <x:c r="E289" s="39" t="n">
        <x:v>2</x:v>
      </x:c>
      <x:c r="F289" s="44" t="n">
        <x:v>1026.33</x:v>
      </x:c>
      <x:c r="G289" s="44" t="n">
        <x:v>630.12</x:v>
      </x:c>
      <x:c r="H289" s="39" t="n">
        <x:v>6</x:v>
      </x:c>
      <x:c r="I289" s="41" t="n">
        <x:v>0.05508474576271186</x:v>
      </x:c>
      <x:c r="J289" s="41" t="n">
        <x:v>0.019230769230769232</x:v>
      </x:c>
      <x:c r="K289" s="44" t="n">
        <x:v>513.165</x:v>
      </x:c>
      <x:c r="L289" s="42" t="n">
        <x:v>0.613954576013563</x:v>
      </x:c>
      <x:c r="M289" s="44" t="n">
        <x:v>-396.2099999999999</x:v>
      </x:c>
      <x:c r="N289" s="41" t="n">
        <x:v>-0.6287849933346028</x:v>
      </x:c>
    </x:row>
    <x:row r="290" ht="15" hidden="0" customHeight="1">
      <x:c r="A290" s="43" t="str">
        <x:v>2026-02-11</x:v>
      </x:c>
      <x:c r="B290" s="39" t="str">
        <x:v>LinkedIn Ads</x:v>
      </x:c>
      <x:c r="C290" s="39" t="n">
        <x:v>2630</x:v>
      </x:c>
      <x:c r="D290" s="39" t="n">
        <x:v>117</x:v>
      </x:c>
      <x:c r="E290" s="39" t="n">
        <x:v>1</x:v>
      </x:c>
      <x:c r="F290" s="44" t="n">
        <x:v>1361.17</x:v>
      </x:c>
      <x:c r="G290" s="44" t="n">
        <x:v>376.49</x:v>
      </x:c>
      <x:c r="H290" s="39" t="n">
        <x:v>6</x:v>
      </x:c>
      <x:c r="I290" s="41" t="n">
        <x:v>0.04448669201520913</x:v>
      </x:c>
      <x:c r="J290" s="41" t="n">
        <x:v>0.008547008547008548</x:v>
      </x:c>
      <x:c r="K290" s="44" t="n">
        <x:v>1361.17</x:v>
      </x:c>
      <x:c r="L290" s="42" t="n">
        <x:v>0.27659293108134914</x:v>
      </x:c>
      <x:c r="M290" s="44" t="n">
        <x:v>-984.6800000000001</x:v>
      </x:c>
      <x:c r="N290" s="41" t="n">
        <x:v>-2.615421392334458</x:v>
      </x:c>
    </x:row>
    <x:row r="291" ht="15" hidden="0" customHeight="1">
      <x:c r="A291" s="43" t="str">
        <x:v>2026-02-11</x:v>
      </x:c>
      <x:c r="B291" s="39" t="str">
        <x:v>Outbound Sales</x:v>
      </x:c>
      <x:c r="C291" s="39" t="n">
        <x:v>2440</x:v>
      </x:c>
      <x:c r="D291" s="39" t="n">
        <x:v>175</x:v>
      </x:c>
      <x:c r="E291" s="39" t="n">
        <x:v>1</x:v>
      </x:c>
      <x:c r="F291" s="44" t="n">
        <x:v>1463.72</x:v>
      </x:c>
      <x:c r="G291" s="44" t="n">
        <x:v>791.35</x:v>
      </x:c>
      <x:c r="H291" s="39" t="n">
        <x:v>6</x:v>
      </x:c>
      <x:c r="I291" s="41" t="n">
        <x:v>0.07172131147540983</x:v>
      </x:c>
      <x:c r="J291" s="41" t="n">
        <x:v>0.005714285714285714</x:v>
      </x:c>
      <x:c r="K291" s="44" t="n">
        <x:v>1463.72</x:v>
      </x:c>
      <x:c r="L291" s="42" t="n">
        <x:v>0.5406430191566693</x:v>
      </x:c>
      <x:c r="M291" s="44" t="n">
        <x:v>-672.37</x:v>
      </x:c>
      <x:c r="N291" s="41" t="n">
        <x:v>-0.8496493334175775</x:v>
      </x:c>
    </x:row>
    <x:row r="292" ht="15" hidden="0" customHeight="1">
      <x:c r="A292" s="43" t="str">
        <x:v>2026-02-11</x:v>
      </x:c>
      <x:c r="B292" s="39" t="str">
        <x:v>Paid Search</x:v>
      </x:c>
      <x:c r="C292" s="39" t="n">
        <x:v>3171</x:v>
      </x:c>
      <x:c r="D292" s="39" t="n">
        <x:v>244</x:v>
      </x:c>
      <x:c r="E292" s="39" t="n">
        <x:v>2</x:v>
      </x:c>
      <x:c r="F292" s="44" t="n">
        <x:v>2205.45</x:v>
      </x:c>
      <x:c r="G292" s="44" t="n">
        <x:v>598.41</x:v>
      </x:c>
      <x:c r="H292" s="39" t="n">
        <x:v>6</x:v>
      </x:c>
      <x:c r="I292" s="41" t="n">
        <x:v>0.07694733522548092</x:v>
      </x:c>
      <x:c r="J292" s="41" t="n">
        <x:v>0.00819672131147541</x:v>
      </x:c>
      <x:c r="K292" s="44" t="n">
        <x:v>1102.725</x:v>
      </x:c>
      <x:c r="L292" s="42" t="n">
        <x:v>0.27133238114670477</x:v>
      </x:c>
      <x:c r="M292" s="44" t="n">
        <x:v>-1607.04</x:v>
      </x:c>
      <x:c r="N292" s="41" t="n">
        <x:v>-2.6855166190404574</x:v>
      </x:c>
    </x:row>
    <x:row r="293" ht="15" hidden="0" customHeight="1">
      <x:c r="A293" s="43" t="str">
        <x:v>2026-02-11</x:v>
      </x:c>
      <x:c r="B293" s="39" t="str">
        <x:v>Partnerships</x:v>
      </x:c>
      <x:c r="C293" s="39" t="n">
        <x:v>2697</x:v>
      </x:c>
      <x:c r="D293" s="39" t="n">
        <x:v>157</x:v>
      </x:c>
      <x:c r="E293" s="39" t="n">
        <x:v>2</x:v>
      </x:c>
      <x:c r="F293" s="44" t="n">
        <x:v>1099.62</x:v>
      </x:c>
      <x:c r="G293" s="44" t="n">
        <x:v>1052.5</x:v>
      </x:c>
      <x:c r="H293" s="39" t="n">
        <x:v>6</x:v>
      </x:c>
      <x:c r="I293" s="41" t="n">
        <x:v>0.0582128290693363</x:v>
      </x:c>
      <x:c r="J293" s="41" t="n">
        <x:v>0.012738853503184714</x:v>
      </x:c>
      <x:c r="K293" s="44" t="n">
        <x:v>549.81</x:v>
      </x:c>
      <x:c r="L293" s="42" t="n">
        <x:v>0.9571488332332989</x:v>
      </x:c>
      <x:c r="M293" s="44" t="n">
        <x:v>-47.11999999999989</x:v>
      </x:c>
      <x:c r="N293" s="41" t="n">
        <x:v>-0.044769596199524836</x:v>
      </x:c>
    </x:row>
    <x:row r="294" ht="15" hidden="0" customHeight="1">
      <x:c r="A294" s="43" t="str">
        <x:v>2026-02-11</x:v>
      </x:c>
      <x:c r="B294" s="39" t="str">
        <x:v>Referral</x:v>
      </x:c>
      <x:c r="C294" s="39" t="n">
        <x:v>2778</x:v>
      </x:c>
      <x:c r="D294" s="39" t="n">
        <x:v>220</x:v>
      </x:c>
      <x:c r="E294" s="39" t="n">
        <x:v>6</x:v>
      </x:c>
      <x:c r="F294" s="44" t="n">
        <x:v>559.27</x:v>
      </x:c>
      <x:c r="G294" s="44" t="n">
        <x:v>3080.82</x:v>
      </x:c>
      <x:c r="H294" s="39" t="n">
        <x:v>6</x:v>
      </x:c>
      <x:c r="I294" s="41" t="n">
        <x:v>0.07919366450683946</x:v>
      </x:c>
      <x:c r="J294" s="41" t="n">
        <x:v>0.02727272727272727</x:v>
      </x:c>
      <x:c r="K294" s="44" t="n">
        <x:v>93.21166666666666</x:v>
      </x:c>
      <x:c r="L294" s="42" t="n">
        <x:v>5.508645198204803</x:v>
      </x:c>
      <x:c r="M294" s="44" t="n">
        <x:v>2521.55</x:v>
      </x:c>
      <x:c r="N294" s="41" t="n">
        <x:v>0.8184671613401627</x:v>
      </x:c>
    </x:row>
    <x:row r="295" ht="15" hidden="0" customHeight="1">
      <x:c r="A295" s="43" t="str">
        <x:v>2026-02-11</x:v>
      </x:c>
      <x:c r="B295" s="39" t="str">
        <x:v>SEO</x:v>
      </x:c>
      <x:c r="C295" s="39" t="n">
        <x:v>1900</x:v>
      </x:c>
      <x:c r="D295" s="39" t="n">
        <x:v>140</x:v>
      </x:c>
      <x:c r="E295" s="39" t="n">
        <x:v>2</x:v>
      </x:c>
      <x:c r="F295" s="44" t="n">
        <x:v>1217.97</x:v>
      </x:c>
      <x:c r="G295" s="44" t="n">
        <x:v>644</x:v>
      </x:c>
      <x:c r="H295" s="39" t="n">
        <x:v>6</x:v>
      </x:c>
      <x:c r="I295" s="41" t="n">
        <x:v>0.07368421052631578</x:v>
      </x:c>
      <x:c r="J295" s="41" t="n">
        <x:v>0.014285714285714285</x:v>
      </x:c>
      <x:c r="K295" s="44" t="n">
        <x:v>608.985</x:v>
      </x:c>
      <x:c r="L295" s="42" t="n">
        <x:v>0.5287486555498083</x:v>
      </x:c>
      <x:c r="M295" s="44" t="n">
        <x:v>-573.97</x:v>
      </x:c>
      <x:c r="N295" s="41" t="n">
        <x:v>-0.8912577639751553</x:v>
      </x:c>
    </x:row>
    <x:row r="296" ht="15" hidden="0" customHeight="1">
      <x:c r="A296" s="43" t="str">
        <x:v>2026-02-12</x:v>
      </x:c>
      <x:c r="B296" s="39" t="str">
        <x:v>Content</x:v>
      </x:c>
      <x:c r="C296" s="39" t="n">
        <x:v>2421</x:v>
      </x:c>
      <x:c r="D296" s="39" t="n">
        <x:v>147</x:v>
      </x:c>
      <x:c r="E296" s="39" t="n">
        <x:v>3</x:v>
      </x:c>
      <x:c r="F296" s="44" t="n">
        <x:v>1041.67</x:v>
      </x:c>
      <x:c r="G296" s="44" t="n">
        <x:v>1170.88</x:v>
      </x:c>
      <x:c r="H296" s="39" t="n">
        <x:v>6</x:v>
      </x:c>
      <x:c r="I296" s="41" t="n">
        <x:v>0.06071871127633209</x:v>
      </x:c>
      <x:c r="J296" s="41" t="n">
        <x:v>0.02040816326530612</x:v>
      </x:c>
      <x:c r="K296" s="44" t="n">
        <x:v>347.22333333333336</x:v>
      </x:c>
      <x:c r="L296" s="42" t="n">
        <x:v>1.1240412030681501</x:v>
      </x:c>
      <x:c r="M296" s="44" t="n">
        <x:v>129.21000000000004</x:v>
      </x:c>
      <x:c r="N296" s="41" t="n">
        <x:v>0.11035289696638428</x:v>
      </x:c>
    </x:row>
    <x:row r="297" ht="15" hidden="0" customHeight="1">
      <x:c r="A297" s="43" t="str">
        <x:v>2026-02-12</x:v>
      </x:c>
      <x:c r="B297" s="39" t="str">
        <x:v>LinkedIn Ads</x:v>
      </x:c>
      <x:c r="C297" s="39" t="n">
        <x:v>1666</x:v>
      </x:c>
      <x:c r="D297" s="39" t="n">
        <x:v>119</x:v>
      </x:c>
      <x:c r="E297" s="39" t="n">
        <x:v>1</x:v>
      </x:c>
      <x:c r="F297" s="44" t="n">
        <x:v>1459.84</x:v>
      </x:c>
      <x:c r="G297" s="44" t="n">
        <x:v>303.59</x:v>
      </x:c>
      <x:c r="H297" s="39" t="n">
        <x:v>6</x:v>
      </x:c>
      <x:c r="I297" s="41" t="n">
        <x:v>0.07142857142857142</x:v>
      </x:c>
      <x:c r="J297" s="41" t="n">
        <x:v>0.008403361344537815</x:v>
      </x:c>
      <x:c r="K297" s="44" t="n">
        <x:v>1459.84</x:v>
      </x:c>
      <x:c r="L297" s="42" t="n">
        <x:v>0.2079611464270057</x:v>
      </x:c>
      <x:c r="M297" s="44" t="n">
        <x:v>-1156.25</x:v>
      </x:c>
      <x:c r="N297" s="41" t="n">
        <x:v>-3.808590533285023</x:v>
      </x:c>
    </x:row>
    <x:row r="298" ht="15" hidden="0" customHeight="1">
      <x:c r="A298" s="43" t="str">
        <x:v>2026-02-12</x:v>
      </x:c>
      <x:c r="B298" s="39" t="str">
        <x:v>Outbound Sales</x:v>
      </x:c>
      <x:c r="C298" s="39" t="n">
        <x:v>1555</x:v>
      </x:c>
      <x:c r="D298" s="39" t="n">
        <x:v>55</x:v>
      </x:c>
      <x:c r="E298" s="39" t="n">
        <x:v>0</x:v>
      </x:c>
      <x:c r="F298" s="44" t="n">
        <x:v>1134.3</x:v>
      </x:c>
      <x:c r="G298" s="44" t="n">
        <x:v>0</x:v>
      </x:c>
      <x:c r="H298" s="39" t="n">
        <x:v>6</x:v>
      </x:c>
      <x:c r="I298" s="41" t="n">
        <x:v>0.03536977491961415</x:v>
      </x:c>
      <x:c r="J298" s="41" t="n">
        <x:v>0</x:v>
      </x:c>
      <x:c r="K298" s="44"/>
      <x:c r="L298" s="42" t="n">
        <x:v>0</x:v>
      </x:c>
      <x:c r="M298" s="44" t="n">
        <x:v>-1134.3</x:v>
      </x:c>
      <x:c r="N298" s="41"/>
    </x:row>
    <x:row r="299" ht="15" hidden="0" customHeight="1">
      <x:c r="A299" s="43" t="str">
        <x:v>2026-02-12</x:v>
      </x:c>
      <x:c r="B299" s="39" t="str">
        <x:v>Paid Search</x:v>
      </x:c>
      <x:c r="C299" s="39" t="n">
        <x:v>3067</x:v>
      </x:c>
      <x:c r="D299" s="39" t="n">
        <x:v>214</x:v>
      </x:c>
      <x:c r="E299" s="39" t="n">
        <x:v>3</x:v>
      </x:c>
      <x:c r="F299" s="44" t="n">
        <x:v>2424.75</x:v>
      </x:c>
      <x:c r="G299" s="44" t="n">
        <x:v>1336.37</x:v>
      </x:c>
      <x:c r="H299" s="39" t="n">
        <x:v>6</x:v>
      </x:c>
      <x:c r="I299" s="41" t="n">
        <x:v>0.06977502445386372</x:v>
      </x:c>
      <x:c r="J299" s="41" t="n">
        <x:v>0.014018691588785047</x:v>
      </x:c>
      <x:c r="K299" s="44" t="n">
        <x:v>808.25</x:v>
      </x:c>
      <x:c r="L299" s="42" t="n">
        <x:v>0.5511372306423342</x:v>
      </x:c>
      <x:c r="M299" s="44" t="n">
        <x:v>-1088.38</x:v>
      </x:c>
      <x:c r="N299" s="41" t="n">
        <x:v>-0.8144301353667025</x:v>
      </x:c>
    </x:row>
    <x:row r="300" ht="15" hidden="0" customHeight="1">
      <x:c r="A300" s="43" t="str">
        <x:v>2026-02-12</x:v>
      </x:c>
      <x:c r="B300" s="39" t="str">
        <x:v>Partnerships</x:v>
      </x:c>
      <x:c r="C300" s="39" t="n">
        <x:v>2259</x:v>
      </x:c>
      <x:c r="D300" s="39" t="n">
        <x:v>98</x:v>
      </x:c>
      <x:c r="E300" s="39" t="n">
        <x:v>1</x:v>
      </x:c>
      <x:c r="F300" s="44" t="n">
        <x:v>972.3</x:v>
      </x:c>
      <x:c r="G300" s="44" t="n">
        <x:v>248.13</x:v>
      </x:c>
      <x:c r="H300" s="39" t="n">
        <x:v>6</x:v>
      </x:c>
      <x:c r="I300" s="41" t="n">
        <x:v>0.043382027445772464</x:v>
      </x:c>
      <x:c r="J300" s="41" t="n">
        <x:v>0.01020408163265306</x:v>
      </x:c>
      <x:c r="K300" s="44" t="n">
        <x:v>972.3</x:v>
      </x:c>
      <x:c r="L300" s="42" t="n">
        <x:v>0.25519901265041656</x:v>
      </x:c>
      <x:c r="M300" s="44" t="n">
        <x:v>-724.17</x:v>
      </x:c>
      <x:c r="N300" s="41" t="n">
        <x:v>-2.918510458227542</x:v>
      </x:c>
    </x:row>
    <x:row r="301" ht="15" hidden="0" customHeight="1">
      <x:c r="A301" s="43" t="str">
        <x:v>2026-02-12</x:v>
      </x:c>
      <x:c r="B301" s="39" t="str">
        <x:v>Referral</x:v>
      </x:c>
      <x:c r="C301" s="39" t="n">
        <x:v>2846</x:v>
      </x:c>
      <x:c r="D301" s="39" t="n">
        <x:v>209</x:v>
      </x:c>
      <x:c r="E301" s="39" t="n">
        <x:v>6</x:v>
      </x:c>
      <x:c r="F301" s="44" t="n">
        <x:v>484.21000000000004</x:v>
      </x:c>
      <x:c r="G301" s="44" t="n">
        <x:v>3140.85</x:v>
      </x:c>
      <x:c r="H301" s="39" t="n">
        <x:v>6</x:v>
      </x:c>
      <x:c r="I301" s="41" t="n">
        <x:v>0.07343640196767393</x:v>
      </x:c>
      <x:c r="J301" s="41" t="n">
        <x:v>0.028708133971291867</x:v>
      </x:c>
      <x:c r="K301" s="44" t="n">
        <x:v>80.70166666666667</x:v>
      </x:c>
      <x:c r="L301" s="42" t="n">
        <x:v>6.486545094070753</x:v>
      </x:c>
      <x:c r="M301" s="44" t="n">
        <x:v>2656.64</x:v>
      </x:c>
      <x:c r="N301" s="41" t="n">
        <x:v>0.8458347262683669</x:v>
      </x:c>
    </x:row>
    <x:row r="302" ht="15" hidden="0" customHeight="1">
      <x:c r="A302" s="43" t="str">
        <x:v>2026-02-12</x:v>
      </x:c>
      <x:c r="B302" s="39" t="str">
        <x:v>SEO</x:v>
      </x:c>
      <x:c r="C302" s="39" t="n">
        <x:v>2678</x:v>
      </x:c>
      <x:c r="D302" s="39" t="n">
        <x:v>92</x:v>
      </x:c>
      <x:c r="E302" s="39" t="n">
        <x:v>2</x:v>
      </x:c>
      <x:c r="F302" s="44" t="n">
        <x:v>1262.37</x:v>
      </x:c>
      <x:c r="G302" s="44" t="n">
        <x:v>679.52</x:v>
      </x:c>
      <x:c r="H302" s="39" t="n">
        <x:v>6</x:v>
      </x:c>
      <x:c r="I302" s="41" t="n">
        <x:v>0.03435399551904406</x:v>
      </x:c>
      <x:c r="J302" s="41" t="n">
        <x:v>0.021739130434782608</x:v>
      </x:c>
      <x:c r="K302" s="44" t="n">
        <x:v>631.185</x:v>
      </x:c>
      <x:c r="L302" s="42" t="n">
        <x:v>0.5382890911539406</x:v>
      </x:c>
      <x:c r="M302" s="44" t="n">
        <x:v>-582.8499999999999</x:v>
      </x:c>
      <x:c r="N302" s="41" t="n">
        <x:v>-0.8577378149281845</x:v>
      </x:c>
    </x:row>
    <x:row r="303" ht="15" hidden="0" customHeight="1">
      <x:c r="A303" s="43" t="str">
        <x:v>2026-02-13</x:v>
      </x:c>
      <x:c r="B303" s="39" t="str">
        <x:v>Content</x:v>
      </x:c>
      <x:c r="C303" s="39" t="n">
        <x:v>1825</x:v>
      </x:c>
      <x:c r="D303" s="39" t="n">
        <x:v>121</x:v>
      </x:c>
      <x:c r="E303" s="39" t="n">
        <x:v>2</x:v>
      </x:c>
      <x:c r="F303" s="44" t="n">
        <x:v>1467.6399999999999</x:v>
      </x:c>
      <x:c r="G303" s="44" t="n">
        <x:v>737.78</x:v>
      </x:c>
      <x:c r="H303" s="39" t="n">
        <x:v>6</x:v>
      </x:c>
      <x:c r="I303" s="41" t="n">
        <x:v>0.0663013698630137</x:v>
      </x:c>
      <x:c r="J303" s="41" t="n">
        <x:v>0.01652892561983471</x:v>
      </x:c>
      <x:c r="K303" s="44" t="n">
        <x:v>733.8199999999999</x:v>
      </x:c>
      <x:c r="L303" s="42" t="n">
        <x:v>0.5026982093701453</x:v>
      </x:c>
      <x:c r="M303" s="44" t="n">
        <x:v>-729.8599999999999</x:v>
      </x:c>
      <x:c r="N303" s="41" t="n">
        <x:v>-0.9892650925750223</x:v>
      </x:c>
    </x:row>
    <x:row r="304" ht="15" hidden="0" customHeight="1">
      <x:c r="A304" s="43" t="str">
        <x:v>2026-02-13</x:v>
      </x:c>
      <x:c r="B304" s="39" t="str">
        <x:v>LinkedIn Ads</x:v>
      </x:c>
      <x:c r="C304" s="39" t="n">
        <x:v>2557</x:v>
      </x:c>
      <x:c r="D304" s="39" t="n">
        <x:v>127</x:v>
      </x:c>
      <x:c r="E304" s="39" t="n">
        <x:v>1</x:v>
      </x:c>
      <x:c r="F304" s="44" t="n">
        <x:v>1856.5300000000002</x:v>
      </x:c>
      <x:c r="G304" s="44" t="n">
        <x:v>331.65</x:v>
      </x:c>
      <x:c r="H304" s="39" t="n">
        <x:v>6</x:v>
      </x:c>
      <x:c r="I304" s="41" t="n">
        <x:v>0.0496675791943684</x:v>
      </x:c>
      <x:c r="J304" s="41" t="n">
        <x:v>0.007874015748031496</x:v>
      </x:c>
      <x:c r="K304" s="44" t="n">
        <x:v>1856.5300000000002</x:v>
      </x:c>
      <x:c r="L304" s="42" t="n">
        <x:v>0.1786397203384809</x:v>
      </x:c>
      <x:c r="M304" s="44" t="n">
        <x:v>-1524.88</x:v>
      </x:c>
      <x:c r="N304" s="41" t="n">
        <x:v>-4.597859188903966</x:v>
      </x:c>
    </x:row>
    <x:row r="305" ht="15" hidden="0" customHeight="1">
      <x:c r="A305" s="43" t="str">
        <x:v>2026-02-13</x:v>
      </x:c>
      <x:c r="B305" s="39" t="str">
        <x:v>Outbound Sales</x:v>
      </x:c>
      <x:c r="C305" s="39" t="n">
        <x:v>2638</x:v>
      </x:c>
      <x:c r="D305" s="39" t="n">
        <x:v>121</x:v>
      </x:c>
      <x:c r="E305" s="39" t="n">
        <x:v>1</x:v>
      </x:c>
      <x:c r="F305" s="44" t="n">
        <x:v>2100.98</x:v>
      </x:c>
      <x:c r="G305" s="44" t="n">
        <x:v>791.94</x:v>
      </x:c>
      <x:c r="H305" s="39" t="n">
        <x:v>6</x:v>
      </x:c>
      <x:c r="I305" s="41" t="n">
        <x:v>0.04586808188021228</x:v>
      </x:c>
      <x:c r="J305" s="41" t="n">
        <x:v>0.008264462809917356</x:v>
      </x:c>
      <x:c r="K305" s="44" t="n">
        <x:v>2100.98</x:v>
      </x:c>
      <x:c r="L305" s="42" t="n">
        <x:v>0.3769383811364221</x:v>
      </x:c>
      <x:c r="M305" s="44" t="n">
        <x:v>-1309.04</x:v>
      </x:c>
      <x:c r="N305" s="41" t="n">
        <x:v>-1.652953506578781</x:v>
      </x:c>
    </x:row>
    <x:row r="306" ht="15" hidden="0" customHeight="1">
      <x:c r="A306" s="43" t="str">
        <x:v>2026-02-13</x:v>
      </x:c>
      <x:c r="B306" s="39" t="str">
        <x:v>Paid Search</x:v>
      </x:c>
      <x:c r="C306" s="39" t="n">
        <x:v>3120</x:v>
      </x:c>
      <x:c r="D306" s="39" t="n">
        <x:v>315</x:v>
      </x:c>
      <x:c r="E306" s="39" t="n">
        <x:v>5</x:v>
      </x:c>
      <x:c r="F306" s="44" t="n">
        <x:v>3060.9700000000003</x:v>
      </x:c>
      <x:c r="G306" s="44" t="n">
        <x:v>2596.91</x:v>
      </x:c>
      <x:c r="H306" s="39" t="n">
        <x:v>6</x:v>
      </x:c>
      <x:c r="I306" s="41" t="n">
        <x:v>0.10096153846153846</x:v>
      </x:c>
      <x:c r="J306" s="41" t="n">
        <x:v>0.015873015873015872</x:v>
      </x:c>
      <x:c r="K306" s="44" t="n">
        <x:v>612.1940000000001</x:v>
      </x:c>
      <x:c r="L306" s="42" t="n">
        <x:v>0.84839446319304</x:v>
      </x:c>
      <x:c r="M306" s="44" t="n">
        <x:v>-464.0600000000004</x:v>
      </x:c>
      <x:c r="N306" s="41" t="n">
        <x:v>-0.17869698988413169</x:v>
      </x:c>
    </x:row>
    <x:row r="307" ht="15" hidden="0" customHeight="1">
      <x:c r="A307" s="43" t="str">
        <x:v>2026-02-13</x:v>
      </x:c>
      <x:c r="B307" s="39" t="str">
        <x:v>Partnerships</x:v>
      </x:c>
      <x:c r="C307" s="39" t="n">
        <x:v>2396</x:v>
      </x:c>
      <x:c r="D307" s="39" t="n">
        <x:v>106</x:v>
      </x:c>
      <x:c r="E307" s="39" t="n">
        <x:v>2</x:v>
      </x:c>
      <x:c r="F307" s="44" t="n">
        <x:v>1515.92</x:v>
      </x:c>
      <x:c r="G307" s="44" t="n">
        <x:v>853.7700000000001</x:v>
      </x:c>
      <x:c r="H307" s="39" t="n">
        <x:v>6</x:v>
      </x:c>
      <x:c r="I307" s="41" t="n">
        <x:v>0.04424040066777963</x:v>
      </x:c>
      <x:c r="J307" s="41" t="n">
        <x:v>0.018867924528301886</x:v>
      </x:c>
      <x:c r="K307" s="44" t="n">
        <x:v>757.96</x:v>
      </x:c>
      <x:c r="L307" s="42" t="n">
        <x:v>0.5632025436698507</x:v>
      </x:c>
      <x:c r="M307" s="44" t="n">
        <x:v>-662.15</x:v>
      </x:c>
      <x:c r="N307" s="41" t="n">
        <x:v>-0.7755601625730582</x:v>
      </x:c>
    </x:row>
    <x:row r="308" ht="15" hidden="0" customHeight="1">
      <x:c r="A308" s="43" t="str">
        <x:v>2026-02-13</x:v>
      </x:c>
      <x:c r="B308" s="39" t="str">
        <x:v>Referral</x:v>
      </x:c>
      <x:c r="C308" s="39" t="n">
        <x:v>2910</x:v>
      </x:c>
      <x:c r="D308" s="39" t="n">
        <x:v>228</x:v>
      </x:c>
      <x:c r="E308" s="39" t="n">
        <x:v>6</x:v>
      </x:c>
      <x:c r="F308" s="44" t="n">
        <x:v>887.75</x:v>
      </x:c>
      <x:c r="G308" s="44" t="n">
        <x:v>3209.0499999999997</x:v>
      </x:c>
      <x:c r="H308" s="39" t="n">
        <x:v>6</x:v>
      </x:c>
      <x:c r="I308" s="41" t="n">
        <x:v>0.07835051546391752</x:v>
      </x:c>
      <x:c r="J308" s="41" t="n">
        <x:v>0.02631578947368421</x:v>
      </x:c>
      <x:c r="K308" s="44" t="n">
        <x:v>147.95833333333334</x:v>
      </x:c>
      <x:c r="L308" s="42" t="n">
        <x:v>3.614812728808786</x:v>
      </x:c>
      <x:c r="M308" s="44" t="n">
        <x:v>2321.2999999999997</x:v>
      </x:c>
      <x:c r="N308" s="41" t="n">
        <x:v>0.7233604960969757</x:v>
      </x:c>
    </x:row>
    <x:row r="309" ht="15" hidden="0" customHeight="1">
      <x:c r="A309" s="43" t="str">
        <x:v>2026-02-13</x:v>
      </x:c>
      <x:c r="B309" s="39" t="str">
        <x:v>SEO</x:v>
      </x:c>
      <x:c r="C309" s="39" t="n">
        <x:v>2426</x:v>
      </x:c>
      <x:c r="D309" s="39" t="n">
        <x:v>207</x:v>
      </x:c>
      <x:c r="E309" s="39" t="n">
        <x:v>4</x:v>
      </x:c>
      <x:c r="F309" s="44" t="n">
        <x:v>1824.5</x:v>
      </x:c>
      <x:c r="G309" s="44" t="n">
        <x:v>1494.69</x:v>
      </x:c>
      <x:c r="H309" s="39" t="n">
        <x:v>6</x:v>
      </x:c>
      <x:c r="I309" s="41" t="n">
        <x:v>0.08532563891178896</x:v>
      </x:c>
      <x:c r="J309" s="41" t="n">
        <x:v>0.01932367149758454</x:v>
      </x:c>
      <x:c r="K309" s="44" t="n">
        <x:v>456.125</x:v>
      </x:c>
      <x:c r="L309" s="42" t="n">
        <x:v>0.8192326664839682</x:v>
      </x:c>
      <x:c r="M309" s="44" t="n">
        <x:v>-329.80999999999995</x:v>
      </x:c>
      <x:c r="N309" s="41" t="n">
        <x:v>-0.22065445008664</x:v>
      </x:c>
    </x:row>
    <x:row r="310" ht="15" hidden="0" customHeight="1">
      <x:c r="A310" s="43" t="str">
        <x:v>2026-02-14</x:v>
      </x:c>
      <x:c r="B310" s="39" t="str">
        <x:v>Content</x:v>
      </x:c>
      <x:c r="C310" s="39" t="n">
        <x:v>2301</x:v>
      </x:c>
      <x:c r="D310" s="39" t="n">
        <x:v>87</x:v>
      </x:c>
      <x:c r="E310" s="39" t="n">
        <x:v>0</x:v>
      </x:c>
      <x:c r="F310" s="44" t="n">
        <x:v>1032.78</x:v>
      </x:c>
      <x:c r="G310" s="44" t="n">
        <x:v>0</x:v>
      </x:c>
      <x:c r="H310" s="39" t="n">
        <x:v>6</x:v>
      </x:c>
      <x:c r="I310" s="41" t="n">
        <x:v>0.03780964797913951</x:v>
      </x:c>
      <x:c r="J310" s="41" t="n">
        <x:v>0</x:v>
      </x:c>
      <x:c r="K310" s="44"/>
      <x:c r="L310" s="42" t="n">
        <x:v>0</x:v>
      </x:c>
      <x:c r="M310" s="44" t="n">
        <x:v>-1032.78</x:v>
      </x:c>
      <x:c r="N310" s="41"/>
    </x:row>
    <x:row r="311" ht="15" hidden="0" customHeight="1">
      <x:c r="A311" s="43" t="str">
        <x:v>2026-02-14</x:v>
      </x:c>
      <x:c r="B311" s="39" t="str">
        <x:v>LinkedIn Ads</x:v>
      </x:c>
      <x:c r="C311" s="39" t="n">
        <x:v>2352</x:v>
      </x:c>
      <x:c r="D311" s="39" t="n">
        <x:v>54</x:v>
      </x:c>
      <x:c r="E311" s="39" t="n">
        <x:v>0</x:v>
      </x:c>
      <x:c r="F311" s="44" t="n">
        <x:v>1508.45</x:v>
      </x:c>
      <x:c r="G311" s="44" t="n">
        <x:v>0</x:v>
      </x:c>
      <x:c r="H311" s="39" t="n">
        <x:v>6</x:v>
      </x:c>
      <x:c r="I311" s="41" t="n">
        <x:v>0.02295918367346939</x:v>
      </x:c>
      <x:c r="J311" s="41" t="n">
        <x:v>0</x:v>
      </x:c>
      <x:c r="K311" s="44"/>
      <x:c r="L311" s="42" t="n">
        <x:v>0</x:v>
      </x:c>
      <x:c r="M311" s="44" t="n">
        <x:v>-1508.45</x:v>
      </x:c>
      <x:c r="N311" s="41"/>
    </x:row>
    <x:row r="312" ht="15" hidden="0" customHeight="1">
      <x:c r="A312" s="43" t="str">
        <x:v>2026-02-14</x:v>
      </x:c>
      <x:c r="B312" s="39" t="str">
        <x:v>Outbound Sales</x:v>
      </x:c>
      <x:c r="C312" s="39" t="n">
        <x:v>3259</x:v>
      </x:c>
      <x:c r="D312" s="39" t="n">
        <x:v>228</x:v>
      </x:c>
      <x:c r="E312" s="39" t="n">
        <x:v>1</x:v>
      </x:c>
      <x:c r="F312" s="44" t="n">
        <x:v>1816.9</x:v>
      </x:c>
      <x:c r="G312" s="44" t="n">
        <x:v>618.13</x:v>
      </x:c>
      <x:c r="H312" s="39" t="n">
        <x:v>6</x:v>
      </x:c>
      <x:c r="I312" s="41" t="n">
        <x:v>0.06996011046333231</x:v>
      </x:c>
      <x:c r="J312" s="41" t="n">
        <x:v>0.0043859649122807015</x:v>
      </x:c>
      <x:c r="K312" s="44" t="n">
        <x:v>1816.9</x:v>
      </x:c>
      <x:c r="L312" s="42" t="n">
        <x:v>0.3402113490010457</x:v>
      </x:c>
      <x:c r="M312" s="44" t="n">
        <x:v>-1198.77</x:v>
      </x:c>
      <x:c r="N312" s="41" t="n">
        <x:v>-1.9393493278113019</x:v>
      </x:c>
    </x:row>
    <x:row r="313" ht="15" hidden="0" customHeight="1">
      <x:c r="A313" s="43" t="str">
        <x:v>2026-02-14</x:v>
      </x:c>
      <x:c r="B313" s="39" t="str">
        <x:v>Paid Search</x:v>
      </x:c>
      <x:c r="C313" s="39" t="n">
        <x:v>2753</x:v>
      </x:c>
      <x:c r="D313" s="39" t="n">
        <x:v>174</x:v>
      </x:c>
      <x:c r="E313" s="39" t="n">
        <x:v>3</x:v>
      </x:c>
      <x:c r="F313" s="44" t="n">
        <x:v>2537.5299999999997</x:v>
      </x:c>
      <x:c r="G313" s="44" t="n">
        <x:v>1665.68</x:v>
      </x:c>
      <x:c r="H313" s="39" t="n">
        <x:v>6</x:v>
      </x:c>
      <x:c r="I313" s="41" t="n">
        <x:v>0.06320377769705776</x:v>
      </x:c>
      <x:c r="J313" s="41" t="n">
        <x:v>0.017241379310344827</x:v>
      </x:c>
      <x:c r="K313" s="44" t="n">
        <x:v>845.8433333333332</x:v>
      </x:c>
      <x:c r="L313" s="42" t="n">
        <x:v>0.6564178551583627</x:v>
      </x:c>
      <x:c r="M313" s="44" t="n">
        <x:v>-871.8499999999997</x:v>
      </x:c>
      <x:c r="N313" s="41" t="n">
        <x:v>-0.5234198645598191</x:v>
      </x:c>
    </x:row>
    <x:row r="314" ht="15" hidden="0" customHeight="1">
      <x:c r="A314" s="43" t="str">
        <x:v>2026-02-14</x:v>
      </x:c>
      <x:c r="B314" s="39" t="str">
        <x:v>Partnerships</x:v>
      </x:c>
      <x:c r="C314" s="39" t="n">
        <x:v>2462</x:v>
      </x:c>
      <x:c r="D314" s="39" t="n">
        <x:v>137</x:v>
      </x:c>
      <x:c r="E314" s="39" t="n">
        <x:v>1</x:v>
      </x:c>
      <x:c r="F314" s="44" t="n">
        <x:v>1291.73</x:v>
      </x:c>
      <x:c r="G314" s="44" t="n">
        <x:v>633.24</x:v>
      </x:c>
      <x:c r="H314" s="39" t="n">
        <x:v>6</x:v>
      </x:c>
      <x:c r="I314" s="41" t="n">
        <x:v>0.05564581640942323</x:v>
      </x:c>
      <x:c r="J314" s="41" t="n">
        <x:v>0.0072992700729927005</x:v>
      </x:c>
      <x:c r="K314" s="44" t="n">
        <x:v>1291.73</x:v>
      </x:c>
      <x:c r="L314" s="42" t="n">
        <x:v>0.49022628567889576</x:v>
      </x:c>
      <x:c r="M314" s="44" t="n">
        <x:v>-658.49</x:v>
      </x:c>
      <x:c r="N314" s="41" t="n">
        <x:v>-1.03987429726486</x:v>
      </x:c>
    </x:row>
    <x:row r="315" ht="15" hidden="0" customHeight="1">
      <x:c r="A315" s="43" t="str">
        <x:v>2026-02-14</x:v>
      </x:c>
      <x:c r="B315" s="39" t="str">
        <x:v>Referral</x:v>
      </x:c>
      <x:c r="C315" s="39" t="n">
        <x:v>3608</x:v>
      </x:c>
      <x:c r="D315" s="39" t="n">
        <x:v>241</x:v>
      </x:c>
      <x:c r="E315" s="39" t="n">
        <x:v>8</x:v>
      </x:c>
      <x:c r="F315" s="44" t="n">
        <x:v>554.96</x:v>
      </x:c>
      <x:c r="G315" s="44" t="n">
        <x:v>3573.8</x:v>
      </x:c>
      <x:c r="H315" s="39" t="n">
        <x:v>6</x:v>
      </x:c>
      <x:c r="I315" s="41" t="n">
        <x:v>0.06679600886917961</x:v>
      </x:c>
      <x:c r="J315" s="41" t="n">
        <x:v>0.03319502074688797</x:v>
      </x:c>
      <x:c r="K315" s="44" t="n">
        <x:v>69.37</x:v>
      </x:c>
      <x:c r="L315" s="42" t="n">
        <x:v>6.439743404930085</x:v>
      </x:c>
      <x:c r="M315" s="44" t="n">
        <x:v>3018.84</x:v>
      </x:c>
      <x:c r="N315" s="41" t="n">
        <x:v>0.8447143096983603</x:v>
      </x:c>
    </x:row>
    <x:row r="316" ht="15" hidden="0" customHeight="1">
      <x:c r="A316" s="43" t="str">
        <x:v>2026-02-14</x:v>
      </x:c>
      <x:c r="B316" s="39" t="str">
        <x:v>SEO</x:v>
      </x:c>
      <x:c r="C316" s="39" t="n">
        <x:v>1790</x:v>
      </x:c>
      <x:c r="D316" s="39" t="n">
        <x:v>112</x:v>
      </x:c>
      <x:c r="E316" s="39" t="n">
        <x:v>2</x:v>
      </x:c>
      <x:c r="F316" s="44" t="n">
        <x:v>1206.96</x:v>
      </x:c>
      <x:c r="G316" s="44" t="n">
        <x:v>926.35</x:v>
      </x:c>
      <x:c r="H316" s="39" t="n">
        <x:v>6</x:v>
      </x:c>
      <x:c r="I316" s="41" t="n">
        <x:v>0.06256983240223464</x:v>
      </x:c>
      <x:c r="J316" s="41" t="n">
        <x:v>0.017857142857142856</x:v>
      </x:c>
      <x:c r="K316" s="44" t="n">
        <x:v>603.48</x:v>
      </x:c>
      <x:c r="L316" s="42" t="n">
        <x:v>0.7675067939285477</x:v>
      </x:c>
      <x:c r="M316" s="44" t="n">
        <x:v>-280.61</x:v>
      </x:c>
      <x:c r="N316" s="41" t="n">
        <x:v>-0.30292006261132404</x:v>
      </x:c>
    </x:row>
    <x:row r="317" ht="15" hidden="0" customHeight="1">
      <x:c r="A317" s="43" t="str">
        <x:v>2026-02-15</x:v>
      </x:c>
      <x:c r="B317" s="39" t="str">
        <x:v>Content</x:v>
      </x:c>
      <x:c r="C317" s="39" t="n">
        <x:v>2112</x:v>
      </x:c>
      <x:c r="D317" s="39" t="n">
        <x:v>131</x:v>
      </x:c>
      <x:c r="E317" s="39" t="n">
        <x:v>2</x:v>
      </x:c>
      <x:c r="F317" s="44" t="n">
        <x:v>1221.65</x:v>
      </x:c>
      <x:c r="G317" s="44" t="n">
        <x:v>643.09</x:v>
      </x:c>
      <x:c r="H317" s="39" t="n">
        <x:v>6</x:v>
      </x:c>
      <x:c r="I317" s="41" t="n">
        <x:v>0.06202651515151515</x:v>
      </x:c>
      <x:c r="J317" s="41" t="n">
        <x:v>0.015267175572519083</x:v>
      </x:c>
      <x:c r="K317" s="44" t="n">
        <x:v>610.825</x:v>
      </x:c>
      <x:c r="L317" s="42" t="n">
        <x:v>0.5264110015143454</x:v>
      </x:c>
      <x:c r="M317" s="44" t="n">
        <x:v>-578.5600000000001</x:v>
      </x:c>
      <x:c r="N317" s="41" t="n">
        <x:v>-0.8996563467010839</x:v>
      </x:c>
    </x:row>
    <x:row r="318" ht="15" hidden="0" customHeight="1">
      <x:c r="A318" s="43" t="str">
        <x:v>2026-02-15</x:v>
      </x:c>
      <x:c r="B318" s="39" t="str">
        <x:v>LinkedIn Ads</x:v>
      </x:c>
      <x:c r="C318" s="39" t="n">
        <x:v>2548</x:v>
      </x:c>
      <x:c r="D318" s="39" t="n">
        <x:v>128</x:v>
      </x:c>
      <x:c r="E318" s="39" t="n">
        <x:v>1</x:v>
      </x:c>
      <x:c r="F318" s="44" t="n">
        <x:v>1692.56</x:v>
      </x:c>
      <x:c r="G318" s="44" t="n">
        <x:v>321.17</x:v>
      </x:c>
      <x:c r="H318" s="39" t="n">
        <x:v>6</x:v>
      </x:c>
      <x:c r="I318" s="41" t="n">
        <x:v>0.05023547880690738</x:v>
      </x:c>
      <x:c r="J318" s="41" t="n">
        <x:v>0.0078125</x:v>
      </x:c>
      <x:c r="K318" s="44" t="n">
        <x:v>1692.56</x:v>
      </x:c>
      <x:c r="L318" s="42" t="n">
        <x:v>0.18975398213357283</x:v>
      </x:c>
      <x:c r="M318" s="44" t="n">
        <x:v>-1371.3899999999999</x:v>
      </x:c>
      <x:c r="N318" s="41" t="n">
        <x:v>-4.269981629666531</x:v>
      </x:c>
    </x:row>
    <x:row r="319" ht="15" hidden="0" customHeight="1">
      <x:c r="A319" s="43" t="str">
        <x:v>2026-02-15</x:v>
      </x:c>
      <x:c r="B319" s="39" t="str">
        <x:v>Outbound Sales</x:v>
      </x:c>
      <x:c r="C319" s="39" t="n">
        <x:v>2590</x:v>
      </x:c>
      <x:c r="D319" s="39" t="n">
        <x:v>171</x:v>
      </x:c>
      <x:c r="E319" s="39" t="n">
        <x:v>2</x:v>
      </x:c>
      <x:c r="F319" s="44" t="n">
        <x:v>1659.5900000000001</x:v>
      </x:c>
      <x:c r="G319" s="44" t="n">
        <x:v>930.23</x:v>
      </x:c>
      <x:c r="H319" s="39" t="n">
        <x:v>6</x:v>
      </x:c>
      <x:c r="I319" s="41" t="n">
        <x:v>0.06602316602316602</x:v>
      </x:c>
      <x:c r="J319" s="41" t="n">
        <x:v>0.011695906432748537</x:v>
      </x:c>
      <x:c r="K319" s="44" t="n">
        <x:v>829.7950000000001</x:v>
      </x:c>
      <x:c r="L319" s="42" t="n">
        <x:v>0.5605179592549967</x:v>
      </x:c>
      <x:c r="M319" s="44" t="n">
        <x:v>-729.3600000000001</x:v>
      </x:c>
      <x:c r="N319" s="41" t="n">
        <x:v>-0.7840641561764297</x:v>
      </x:c>
    </x:row>
    <x:row r="320" ht="15" hidden="0" customHeight="1">
      <x:c r="A320" s="43" t="str">
        <x:v>2026-02-15</x:v>
      </x:c>
      <x:c r="B320" s="39" t="str">
        <x:v>Paid Search</x:v>
      </x:c>
      <x:c r="C320" s="39" t="n">
        <x:v>3596</x:v>
      </x:c>
      <x:c r="D320" s="39" t="n">
        <x:v>240</x:v>
      </x:c>
      <x:c r="E320" s="39" t="n">
        <x:v>4</x:v>
      </x:c>
      <x:c r="F320" s="44" t="n">
        <x:v>2865.89</x:v>
      </x:c>
      <x:c r="G320" s="44" t="n">
        <x:v>1719.3899999999999</x:v>
      </x:c>
      <x:c r="H320" s="39" t="n">
        <x:v>6</x:v>
      </x:c>
      <x:c r="I320" s="41" t="n">
        <x:v>0.06674082313681869</x:v>
      </x:c>
      <x:c r="J320" s="41" t="n">
        <x:v>0.016666666666666666</x:v>
      </x:c>
      <x:c r="K320" s="44" t="n">
        <x:v>716.4725</x:v>
      </x:c>
      <x:c r="L320" s="42" t="n">
        <x:v>0.5999497538286536</x:v>
      </x:c>
      <x:c r="M320" s="44" t="n">
        <x:v>-1146.5</x:v>
      </x:c>
      <x:c r="N320" s="41" t="n">
        <x:v>-0.6668062510541529</x:v>
      </x:c>
    </x:row>
    <x:row r="321" ht="15" hidden="0" customHeight="1">
      <x:c r="A321" s="43" t="str">
        <x:v>2026-02-15</x:v>
      </x:c>
      <x:c r="B321" s="39" t="str">
        <x:v>Partnerships</x:v>
      </x:c>
      <x:c r="C321" s="39" t="n">
        <x:v>3359</x:v>
      </x:c>
      <x:c r="D321" s="39" t="n">
        <x:v>265</x:v>
      </x:c>
      <x:c r="E321" s="39" t="n">
        <x:v>3</x:v>
      </x:c>
      <x:c r="F321" s="44" t="n">
        <x:v>1270.95</x:v>
      </x:c>
      <x:c r="G321" s="44" t="n">
        <x:v>1298.75</x:v>
      </x:c>
      <x:c r="H321" s="39" t="n">
        <x:v>6</x:v>
      </x:c>
      <x:c r="I321" s="41" t="n">
        <x:v>0.07889252753795772</x:v>
      </x:c>
      <x:c r="J321" s="41" t="n">
        <x:v>0.011320754716981131</x:v>
      </x:c>
      <x:c r="K321" s="44" t="n">
        <x:v>423.65000000000003</x:v>
      </x:c>
      <x:c r="L321" s="42" t="n">
        <x:v>1.0218734017860656</x:v>
      </x:c>
      <x:c r="M321" s="44" t="n">
        <x:v>27.799999999999955</x:v>
      </x:c>
      <x:c r="N321" s="41" t="n">
        <x:v>0.021405197305101025</x:v>
      </x:c>
    </x:row>
    <x:row r="322" ht="15" hidden="0" customHeight="1">
      <x:c r="A322" s="43" t="str">
        <x:v>2026-02-15</x:v>
      </x:c>
      <x:c r="B322" s="39" t="str">
        <x:v>Referral</x:v>
      </x:c>
      <x:c r="C322" s="39" t="n">
        <x:v>2484</x:v>
      </x:c>
      <x:c r="D322" s="39" t="n">
        <x:v>216</x:v>
      </x:c>
      <x:c r="E322" s="39" t="n">
        <x:v>5</x:v>
      </x:c>
      <x:c r="F322" s="44" t="n">
        <x:v>629.55</x:v>
      </x:c>
      <x:c r="G322" s="44" t="n">
        <x:v>2698.17</x:v>
      </x:c>
      <x:c r="H322" s="39" t="n">
        <x:v>6</x:v>
      </x:c>
      <x:c r="I322" s="41" t="n">
        <x:v>0.08695652173913043</x:v>
      </x:c>
      <x:c r="J322" s="41" t="n">
        <x:v>0.023148148148148147</x:v>
      </x:c>
      <x:c r="K322" s="44" t="n">
        <x:v>125.91</x:v>
      </x:c>
      <x:c r="L322" s="42" t="n">
        <x:v>4.2858708601381945</x:v>
      </x:c>
      <x:c r="M322" s="44" t="n">
        <x:v>2068.62</x:v>
      </x:c>
      <x:c r="N322" s="41" t="n">
        <x:v>0.7666751909627636</x:v>
      </x:c>
    </x:row>
    <x:row r="323" ht="15" hidden="0" customHeight="1">
      <x:c r="A323" s="43" t="str">
        <x:v>2026-02-15</x:v>
      </x:c>
      <x:c r="B323" s="39" t="str">
        <x:v>SEO</x:v>
      </x:c>
      <x:c r="C323" s="39" t="n">
        <x:v>1879</x:v>
      </x:c>
      <x:c r="D323" s="39" t="n">
        <x:v>131</x:v>
      </x:c>
      <x:c r="E323" s="39" t="n">
        <x:v>2</x:v>
      </x:c>
      <x:c r="F323" s="44" t="n">
        <x:v>1460.52</x:v>
      </x:c>
      <x:c r="G323" s="44" t="n">
        <x:v>643.8599999999999</x:v>
      </x:c>
      <x:c r="H323" s="39" t="n">
        <x:v>6</x:v>
      </x:c>
      <x:c r="I323" s="41" t="n">
        <x:v>0.06971793507184673</x:v>
      </x:c>
      <x:c r="J323" s="41" t="n">
        <x:v>0.015267175572519083</x:v>
      </x:c>
      <x:c r="K323" s="44" t="n">
        <x:v>730.26</x:v>
      </x:c>
      <x:c r="L323" s="42" t="n">
        <x:v>0.44084298742913475</x:v>
      </x:c>
      <x:c r="M323" s="44" t="n">
        <x:v>-816.6600000000001</x:v>
      </x:c>
      <x:c r="N323" s="41" t="n">
        <x:v>-1.2683813251327931</x:v>
      </x:c>
    </x:row>
    <x:row r="324" ht="15" hidden="0" customHeight="1">
      <x:c r="A324" s="43" t="str">
        <x:v>2026-02-16</x:v>
      </x:c>
      <x:c r="B324" s="39" t="str">
        <x:v>Content</x:v>
      </x:c>
      <x:c r="C324" s="39" t="n">
        <x:v>2084</x:v>
      </x:c>
      <x:c r="D324" s="39" t="n">
        <x:v>108</x:v>
      </x:c>
      <x:c r="E324" s="39" t="n">
        <x:v>2</x:v>
      </x:c>
      <x:c r="F324" s="44" t="n">
        <x:v>863.89</x:v>
      </x:c>
      <x:c r="G324" s="44" t="n">
        <x:v>781.72</x:v>
      </x:c>
      <x:c r="H324" s="39" t="n">
        <x:v>6</x:v>
      </x:c>
      <x:c r="I324" s="41" t="n">
        <x:v>0.05182341650671785</x:v>
      </x:c>
      <x:c r="J324" s="41" t="n">
        <x:v>0.018518518518518517</x:v>
      </x:c>
      <x:c r="K324" s="44" t="n">
        <x:v>431.945</x:v>
      </x:c>
      <x:c r="L324" s="42" t="n">
        <x:v>0.9048837236222205</x:v>
      </x:c>
      <x:c r="M324" s="44" t="n">
        <x:v>-82.16999999999996</x:v>
      </x:c>
      <x:c r="N324" s="41" t="n">
        <x:v>-0.10511436319909936</x:v>
      </x:c>
    </x:row>
    <x:row r="325" ht="15" hidden="0" customHeight="1">
      <x:c r="A325" s="43" t="str">
        <x:v>2026-02-16</x:v>
      </x:c>
      <x:c r="B325" s="39" t="str">
        <x:v>LinkedIn Ads</x:v>
      </x:c>
      <x:c r="C325" s="39" t="n">
        <x:v>2159</x:v>
      </x:c>
      <x:c r="D325" s="39" t="n">
        <x:v>113</x:v>
      </x:c>
      <x:c r="E325" s="39" t="n">
        <x:v>1</x:v>
      </x:c>
      <x:c r="F325" s="44" t="n">
        <x:v>1177.03</x:v>
      </x:c>
      <x:c r="G325" s="44" t="n">
        <x:v>257.96</x:v>
      </x:c>
      <x:c r="H325" s="39" t="n">
        <x:v>6</x:v>
      </x:c>
      <x:c r="I325" s="41" t="n">
        <x:v>0.0523390458545623</x:v>
      </x:c>
      <x:c r="J325" s="41" t="n">
        <x:v>0.008849557522123894</x:v>
      </x:c>
      <x:c r="K325" s="44" t="n">
        <x:v>1177.03</x:v>
      </x:c>
      <x:c r="L325" s="42" t="n">
        <x:v>0.21916178856953517</x:v>
      </x:c>
      <x:c r="M325" s="44" t="n">
        <x:v>-919.0699999999999</x:v>
      </x:c>
      <x:c r="N325" s="41" t="n">
        <x:v>-3.56283919987595</x:v>
      </x:c>
    </x:row>
    <x:row r="326" ht="15" hidden="0" customHeight="1">
      <x:c r="A326" s="43" t="str">
        <x:v>2026-02-16</x:v>
      </x:c>
      <x:c r="B326" s="39" t="str">
        <x:v>Outbound Sales</x:v>
      </x:c>
      <x:c r="C326" s="39" t="n">
        <x:v>3033</x:v>
      </x:c>
      <x:c r="D326" s="39" t="n">
        <x:v>151</x:v>
      </x:c>
      <x:c r="E326" s="39" t="n">
        <x:v>1</x:v>
      </x:c>
      <x:c r="F326" s="44" t="n">
        <x:v>1147.5100000000002</x:v>
      </x:c>
      <x:c r="G326" s="44" t="n">
        <x:v>779.8</x:v>
      </x:c>
      <x:c r="H326" s="39" t="n">
        <x:v>6</x:v>
      </x:c>
      <x:c r="I326" s="41" t="n">
        <x:v>0.04978569073524563</x:v>
      </x:c>
      <x:c r="J326" s="41" t="n">
        <x:v>0.006622516556291391</x:v>
      </x:c>
      <x:c r="K326" s="44" t="n">
        <x:v>1147.5100000000002</x:v>
      </x:c>
      <x:c r="L326" s="42" t="n">
        <x:v>0.6795583480753978</x:v>
      </x:c>
      <x:c r="M326" s="44" t="n">
        <x:v>-367.71000000000026</x:v>
      </x:c>
      <x:c r="N326" s="41" t="n">
        <x:v>-0.4715439856373433</x:v>
      </x:c>
    </x:row>
    <x:row r="327" ht="15" hidden="0" customHeight="1">
      <x:c r="A327" s="43" t="str">
        <x:v>2026-02-16</x:v>
      </x:c>
      <x:c r="B327" s="39" t="str">
        <x:v>Paid Search</x:v>
      </x:c>
      <x:c r="C327" s="39" t="n">
        <x:v>1552</x:v>
      </x:c>
      <x:c r="D327" s="39" t="n">
        <x:v>95</x:v>
      </x:c>
      <x:c r="E327" s="39" t="n">
        <x:v>1</x:v>
      </x:c>
      <x:c r="F327" s="44" t="n">
        <x:v>1850.37</x:v>
      </x:c>
      <x:c r="G327" s="44" t="n">
        <x:v>339.91</x:v>
      </x:c>
      <x:c r="H327" s="39" t="n">
        <x:v>6</x:v>
      </x:c>
      <x:c r="I327" s="41" t="n">
        <x:v>0.061211340206185565</x:v>
      </x:c>
      <x:c r="J327" s="41" t="n">
        <x:v>0.010526315789473684</x:v>
      </x:c>
      <x:c r="K327" s="44" t="n">
        <x:v>1850.37</x:v>
      </x:c>
      <x:c r="L327" s="42" t="n">
        <x:v>0.18369839545604394</x:v>
      </x:c>
      <x:c r="M327" s="44" t="n">
        <x:v>-1510.4599999999998</x:v>
      </x:c>
      <x:c r="N327" s="41" t="n">
        <x:v>-4.443705686799446</x:v>
      </x:c>
    </x:row>
    <x:row r="328" ht="15" hidden="0" customHeight="1">
      <x:c r="A328" s="43" t="str">
        <x:v>2026-02-16</x:v>
      </x:c>
      <x:c r="B328" s="39" t="str">
        <x:v>Partnerships</x:v>
      </x:c>
      <x:c r="C328" s="39" t="n">
        <x:v>2337</x:v>
      </x:c>
      <x:c r="D328" s="39" t="n">
        <x:v>82</x:v>
      </x:c>
      <x:c r="E328" s="39" t="n">
        <x:v>1</x:v>
      </x:c>
      <x:c r="F328" s="44" t="n">
        <x:v>904.4</x:v>
      </x:c>
      <x:c r="G328" s="44" t="n">
        <x:v>359.36</x:v>
      </x:c>
      <x:c r="H328" s="39" t="n">
        <x:v>6</x:v>
      </x:c>
      <x:c r="I328" s="41" t="n">
        <x:v>0.03508771929824561</x:v>
      </x:c>
      <x:c r="J328" s="41" t="n">
        <x:v>0.012195121951219513</x:v>
      </x:c>
      <x:c r="K328" s="44" t="n">
        <x:v>904.4</x:v>
      </x:c>
      <x:c r="L328" s="42" t="n">
        <x:v>0.39734630694383016</x:v>
      </x:c>
      <x:c r="M328" s="44" t="n">
        <x:v>-545.04</x:v>
      </x:c>
      <x:c r="N328" s="41" t="n">
        <x:v>-1.5166963490650043</x:v>
      </x:c>
    </x:row>
    <x:row r="329" ht="15" hidden="0" customHeight="1">
      <x:c r="A329" s="43" t="str">
        <x:v>2026-02-16</x:v>
      </x:c>
      <x:c r="B329" s="39" t="str">
        <x:v>Referral</x:v>
      </x:c>
      <x:c r="C329" s="39" t="n">
        <x:v>2485</x:v>
      </x:c>
      <x:c r="D329" s="39" t="n">
        <x:v>188</x:v>
      </x:c>
      <x:c r="E329" s="39" t="n">
        <x:v>5</x:v>
      </x:c>
      <x:c r="F329" s="44" t="n">
        <x:v>438.6</x:v>
      </x:c>
      <x:c r="G329" s="44" t="n">
        <x:v>2642.36</x:v>
      </x:c>
      <x:c r="H329" s="39" t="n">
        <x:v>6</x:v>
      </x:c>
      <x:c r="I329" s="41" t="n">
        <x:v>0.07565392354124749</x:v>
      </x:c>
      <x:c r="J329" s="41" t="n">
        <x:v>0.026595744680851064</x:v>
      </x:c>
      <x:c r="K329" s="44" t="n">
        <x:v>87.72</x:v>
      </x:c>
      <x:c r="L329" s="42" t="n">
        <x:v>6.02453260373917</x:v>
      </x:c>
      <x:c r="M329" s="44" t="n">
        <x:v>2203.76</x:v>
      </x:c>
      <x:c r="N329" s="41" t="n">
        <x:v>0.8340120195582738</x:v>
      </x:c>
    </x:row>
    <x:row r="330" ht="15" hidden="0" customHeight="1">
      <x:c r="A330" s="43" t="str">
        <x:v>2026-02-16</x:v>
      </x:c>
      <x:c r="B330" s="39" t="str">
        <x:v>SEO</x:v>
      </x:c>
      <x:c r="C330" s="39" t="n">
        <x:v>2017</x:v>
      </x:c>
      <x:c r="D330" s="39" t="n">
        <x:v>93</x:v>
      </x:c>
      <x:c r="E330" s="39" t="n">
        <x:v>2</x:v>
      </x:c>
      <x:c r="F330" s="44" t="n">
        <x:v>1074.51</x:v>
      </x:c>
      <x:c r="G330" s="44" t="n">
        <x:v>701.6099999999999</x:v>
      </x:c>
      <x:c r="H330" s="39" t="n">
        <x:v>6</x:v>
      </x:c>
      <x:c r="I330" s="41" t="n">
        <x:v>0.04610808130887457</x:v>
      </x:c>
      <x:c r="J330" s="41" t="n">
        <x:v>0.021505376344086023</x:v>
      </x:c>
      <x:c r="K330" s="44" t="n">
        <x:v>537.255</x:v>
      </x:c>
      <x:c r="L330" s="42" t="n">
        <x:v>0.6529580925258954</x:v>
      </x:c>
      <x:c r="M330" s="44" t="n">
        <x:v>-372.9000000000001</x:v>
      </x:c>
      <x:c r="N330" s="41" t="n">
        <x:v>-0.5314918544490531</x:v>
      </x:c>
    </x:row>
    <x:row r="331" ht="15" hidden="0" customHeight="1">
      <x:c r="A331" s="43" t="str">
        <x:v>2026-02-17</x:v>
      </x:c>
      <x:c r="B331" s="39" t="str">
        <x:v>Content</x:v>
      </x:c>
      <x:c r="C331" s="39" t="n">
        <x:v>1868</x:v>
      </x:c>
      <x:c r="D331" s="39" t="n">
        <x:v>197</x:v>
      </x:c>
      <x:c r="E331" s="39" t="n">
        <x:v>3</x:v>
      </x:c>
      <x:c r="F331" s="44" t="n">
        <x:v>1288.57</x:v>
      </x:c>
      <x:c r="G331" s="44" t="n">
        <x:v>1028.08</x:v>
      </x:c>
      <x:c r="H331" s="39" t="n">
        <x:v>6</x:v>
      </x:c>
      <x:c r="I331" s="41" t="n">
        <x:v>0.10546038543897217</x:v>
      </x:c>
      <x:c r="J331" s="41" t="n">
        <x:v>0.015228426395939087</x:v>
      </x:c>
      <x:c r="K331" s="44" t="n">
        <x:v>429.5233333333333</x:v>
      </x:c>
      <x:c r="L331" s="42" t="n">
        <x:v>0.7978456738865564</x:v>
      </x:c>
      <x:c r="M331" s="44" t="n">
        <x:v>-260.49</x:v>
      </x:c>
      <x:c r="N331" s="41" t="n">
        <x:v>-0.25337522371799864</x:v>
      </x:c>
    </x:row>
    <x:row r="332" ht="15" hidden="0" customHeight="1">
      <x:c r="A332" s="43" t="str">
        <x:v>2026-02-17</x:v>
      </x:c>
      <x:c r="B332" s="39" t="str">
        <x:v>LinkedIn Ads</x:v>
      </x:c>
      <x:c r="C332" s="39" t="n">
        <x:v>2577</x:v>
      </x:c>
      <x:c r="D332" s="39" t="n">
        <x:v>186</x:v>
      </x:c>
      <x:c r="E332" s="39" t="n">
        <x:v>2</x:v>
      </x:c>
      <x:c r="F332" s="44" t="n">
        <x:v>1647.6399999999999</x:v>
      </x:c>
      <x:c r="G332" s="44" t="n">
        <x:v>575.04</x:v>
      </x:c>
      <x:c r="H332" s="39" t="n">
        <x:v>6</x:v>
      </x:c>
      <x:c r="I332" s="41" t="n">
        <x:v>0.07217694994179279</x:v>
      </x:c>
      <x:c r="J332" s="41" t="n">
        <x:v>0.010752688172043012</x:v>
      </x:c>
      <x:c r="K332" s="44" t="n">
        <x:v>823.8199999999999</x:v>
      </x:c>
      <x:c r="L332" s="42" t="n">
        <x:v>0.3490082785074409</x:v>
      </x:c>
      <x:c r="M332" s="44" t="n">
        <x:v>-1072.6</x:v>
      </x:c>
      <x:c r="N332" s="41" t="n">
        <x:v>-1.8652615470228158</x:v>
      </x:c>
    </x:row>
    <x:row r="333" ht="15" hidden="0" customHeight="1">
      <x:c r="A333" s="43" t="str">
        <x:v>2026-02-17</x:v>
      </x:c>
      <x:c r="B333" s="39" t="str">
        <x:v>Outbound Sales</x:v>
      </x:c>
      <x:c r="C333" s="39" t="n">
        <x:v>3784</x:v>
      </x:c>
      <x:c r="D333" s="39" t="n">
        <x:v>167</x:v>
      </x:c>
      <x:c r="E333" s="39" t="n">
        <x:v>2</x:v>
      </x:c>
      <x:c r="F333" s="44" t="n">
        <x:v>1656.75</x:v>
      </x:c>
      <x:c r="G333" s="44" t="n">
        <x:v>960.53</x:v>
      </x:c>
      <x:c r="H333" s="39" t="n">
        <x:v>6</x:v>
      </x:c>
      <x:c r="I333" s="41" t="n">
        <x:v>0.04413319238900634</x:v>
      </x:c>
      <x:c r="J333" s="41" t="n">
        <x:v>0.011976047904191617</x:v>
      </x:c>
      <x:c r="K333" s="44" t="n">
        <x:v>828.375</x:v>
      </x:c>
      <x:c r="L333" s="42" t="n">
        <x:v>0.5797676173230722</x:v>
      </x:c>
      <x:c r="M333" s="44" t="n">
        <x:v>-696.22</x:v>
      </x:c>
      <x:c r="N333" s="41" t="n">
        <x:v>-0.724829000655888</x:v>
      </x:c>
    </x:row>
    <x:row r="334" ht="15" hidden="0" customHeight="1">
      <x:c r="A334" s="43" t="str">
        <x:v>2026-02-17</x:v>
      </x:c>
      <x:c r="B334" s="39" t="str">
        <x:v>Paid Search</x:v>
      </x:c>
      <x:c r="C334" s="39" t="n">
        <x:v>2262</x:v>
      </x:c>
      <x:c r="D334" s="39" t="n">
        <x:v>154</x:v>
      </x:c>
      <x:c r="E334" s="39" t="n">
        <x:v>3</x:v>
      </x:c>
      <x:c r="F334" s="44" t="n">
        <x:v>2764.77</x:v>
      </x:c>
      <x:c r="G334" s="44" t="n">
        <x:v>1155.55</x:v>
      </x:c>
      <x:c r="H334" s="39" t="n">
        <x:v>6</x:v>
      </x:c>
      <x:c r="I334" s="41" t="n">
        <x:v>0.0680813439434129</x:v>
      </x:c>
      <x:c r="J334" s="41" t="n">
        <x:v>0.01948051948051948</x:v>
      </x:c>
      <x:c r="K334" s="44" t="n">
        <x:v>921.59</x:v>
      </x:c>
      <x:c r="L334" s="42" t="n">
        <x:v>0.41795520061343255</x:v>
      </x:c>
      <x:c r="M334" s="44" t="n">
        <x:v>-1609.22</x:v>
      </x:c>
      <x:c r="N334" s="41" t="n">
        <x:v>-1.3926009259659904</x:v>
      </x:c>
    </x:row>
    <x:row r="335" ht="15" hidden="0" customHeight="1">
      <x:c r="A335" s="43" t="str">
        <x:v>2026-02-17</x:v>
      </x:c>
      <x:c r="B335" s="39" t="str">
        <x:v>Partnerships</x:v>
      </x:c>
      <x:c r="C335" s="39" t="n">
        <x:v>2391</x:v>
      </x:c>
      <x:c r="D335" s="39" t="n">
        <x:v>183</x:v>
      </x:c>
      <x:c r="E335" s="39" t="n">
        <x:v>2</x:v>
      </x:c>
      <x:c r="F335" s="44" t="n">
        <x:v>1248.6999999999998</x:v>
      </x:c>
      <x:c r="G335" s="44" t="n">
        <x:v>567.0699999999999</x:v>
      </x:c>
      <x:c r="H335" s="39" t="n">
        <x:v>6</x:v>
      </x:c>
      <x:c r="I335" s="41" t="n">
        <x:v>0.07653701380175659</x:v>
      </x:c>
      <x:c r="J335" s="41" t="n">
        <x:v>0.01092896174863388</x:v>
      </x:c>
      <x:c r="K335" s="44" t="n">
        <x:v>624.3499999999999</x:v>
      </x:c>
      <x:c r="L335" s="42" t="n">
        <x:v>0.4541282934251622</x:v>
      </x:c>
      <x:c r="M335" s="44" t="n">
        <x:v>-681.6299999999999</x:v>
      </x:c>
      <x:c r="N335" s="41" t="n">
        <x:v>-1.2020209145255436</x:v>
      </x:c>
    </x:row>
    <x:row r="336" ht="15" hidden="0" customHeight="1">
      <x:c r="A336" s="43" t="str">
        <x:v>2026-02-17</x:v>
      </x:c>
      <x:c r="B336" s="39" t="str">
        <x:v>Referral</x:v>
      </x:c>
      <x:c r="C336" s="39" t="n">
        <x:v>2205</x:v>
      </x:c>
      <x:c r="D336" s="39" t="n">
        <x:v>150</x:v>
      </x:c>
      <x:c r="E336" s="39" t="n">
        <x:v>4</x:v>
      </x:c>
      <x:c r="F336" s="44" t="n">
        <x:v>702.24</x:v>
      </x:c>
      <x:c r="G336" s="44" t="n">
        <x:v>2497.9</x:v>
      </x:c>
      <x:c r="H336" s="39" t="n">
        <x:v>6</x:v>
      </x:c>
      <x:c r="I336" s="41" t="n">
        <x:v>0.06802721088435375</x:v>
      </x:c>
      <x:c r="J336" s="41" t="n">
        <x:v>0.02666666666666667</x:v>
      </x:c>
      <x:c r="K336" s="44" t="n">
        <x:v>175.56</x:v>
      </x:c>
      <x:c r="L336" s="42" t="n">
        <x:v>3.5570460241512873</x:v>
      </x:c>
      <x:c r="M336" s="44" t="n">
        <x:v>1795.66</x:v>
      </x:c>
      <x:c r="N336" s="41" t="n">
        <x:v>0.7188678489931543</x:v>
      </x:c>
    </x:row>
    <x:row r="337" ht="15" hidden="0" customHeight="1">
      <x:c r="A337" s="43" t="str">
        <x:v>2026-02-17</x:v>
      </x:c>
      <x:c r="B337" s="39" t="str">
        <x:v>SEO</x:v>
      </x:c>
      <x:c r="C337" s="39" t="n">
        <x:v>2583</x:v>
      </x:c>
      <x:c r="D337" s="39" t="n">
        <x:v>227</x:v>
      </x:c>
      <x:c r="E337" s="39" t="n">
        <x:v>4</x:v>
      </x:c>
      <x:c r="F337" s="44" t="n">
        <x:v>1615.67</x:v>
      </x:c>
      <x:c r="G337" s="44" t="n">
        <x:v>1735.5500000000002</x:v>
      </x:c>
      <x:c r="H337" s="39" t="n">
        <x:v>6</x:v>
      </x:c>
      <x:c r="I337" s="41" t="n">
        <x:v>0.08788230739450252</x:v>
      </x:c>
      <x:c r="J337" s="41" t="n">
        <x:v>0.01762114537444934</x:v>
      </x:c>
      <x:c r="K337" s="44" t="n">
        <x:v>403.9175</x:v>
      </x:c>
      <x:c r="L337" s="42" t="n">
        <x:v>1.0741983202015264</x:v>
      </x:c>
      <x:c r="M337" s="44" t="n">
        <x:v>119.88000000000011</x:v>
      </x:c>
      <x:c r="N337" s="41" t="n">
        <x:v>0.06907320445968143</x:v>
      </x:c>
    </x:row>
    <x:row r="338" ht="15" hidden="0" customHeight="1">
      <x:c r="A338" s="43" t="str">
        <x:v>2026-02-18</x:v>
      </x:c>
      <x:c r="B338" s="39" t="str">
        <x:v>Content</x:v>
      </x:c>
      <x:c r="C338" s="39" t="n">
        <x:v>2194</x:v>
      </x:c>
      <x:c r="D338" s="39" t="n">
        <x:v>151</x:v>
      </x:c>
      <x:c r="E338" s="39" t="n">
        <x:v>1</x:v>
      </x:c>
      <x:c r="F338" s="44" t="n">
        <x:v>1105.86</x:v>
      </x:c>
      <x:c r="G338" s="44" t="n">
        <x:v>321.03</x:v>
      </x:c>
      <x:c r="H338" s="39" t="n">
        <x:v>6</x:v>
      </x:c>
      <x:c r="I338" s="41" t="n">
        <x:v>0.06882406563354604</x:v>
      </x:c>
      <x:c r="J338" s="41" t="n">
        <x:v>0.006622516556291391</x:v>
      </x:c>
      <x:c r="K338" s="44" t="n">
        <x:v>1105.86</x:v>
      </x:c>
      <x:c r="L338" s="42" t="n">
        <x:v>0.29029895285117463</x:v>
      </x:c>
      <x:c r="M338" s="44" t="n">
        <x:v>-784.8299999999999</x:v>
      </x:c>
      <x:c r="N338" s="41" t="n">
        <x:v>-2.444724792075507</x:v>
      </x:c>
    </x:row>
    <x:row r="339" ht="15" hidden="0" customHeight="1">
      <x:c r="A339" s="43" t="str">
        <x:v>2026-02-18</x:v>
      </x:c>
      <x:c r="B339" s="39" t="str">
        <x:v>LinkedIn Ads</x:v>
      </x:c>
      <x:c r="C339" s="39" t="n">
        <x:v>3258</x:v>
      </x:c>
      <x:c r="D339" s="39" t="n">
        <x:v>155</x:v>
      </x:c>
      <x:c r="E339" s="39" t="n">
        <x:v>2</x:v>
      </x:c>
      <x:c r="F339" s="44" t="n">
        <x:v>1868.1799999999998</x:v>
      </x:c>
      <x:c r="G339" s="44" t="n">
        <x:v>954.56</x:v>
      </x:c>
      <x:c r="H339" s="39" t="n">
        <x:v>6</x:v>
      </x:c>
      <x:c r="I339" s="41" t="n">
        <x:v>0.04757519950890117</x:v>
      </x:c>
      <x:c r="J339" s="41" t="n">
        <x:v>0.012903225806451613</x:v>
      </x:c>
      <x:c r="K339" s="44" t="n">
        <x:v>934.0899999999999</x:v>
      </x:c>
      <x:c r="L339" s="42" t="n">
        <x:v>0.510957188279502</x:v>
      </x:c>
      <x:c r="M339" s="44" t="n">
        <x:v>-913.6199999999999</x:v>
      </x:c>
      <x:c r="N339" s="41" t="n">
        <x:v>-0.9571111297351659</x:v>
      </x:c>
    </x:row>
    <x:row r="340" ht="15" hidden="0" customHeight="1">
      <x:c r="A340" s="43" t="str">
        <x:v>2026-02-18</x:v>
      </x:c>
      <x:c r="B340" s="39" t="str">
        <x:v>Outbound Sales</x:v>
      </x:c>
      <x:c r="C340" s="39" t="n">
        <x:v>2246</x:v>
      </x:c>
      <x:c r="D340" s="39" t="n">
        <x:v>144</x:v>
      </x:c>
      <x:c r="E340" s="39" t="n">
        <x:v>1</x:v>
      </x:c>
      <x:c r="F340" s="44" t="n">
        <x:v>1114.01</x:v>
      </x:c>
      <x:c r="G340" s="44" t="n">
        <x:v>619.31</x:v>
      </x:c>
      <x:c r="H340" s="39" t="n">
        <x:v>6</x:v>
      </x:c>
      <x:c r="I340" s="41" t="n">
        <x:v>0.06411398040961709</x:v>
      </x:c>
      <x:c r="J340" s="41" t="n">
        <x:v>0.006944444444444444</x:v>
      </x:c>
      <x:c r="K340" s="44" t="n">
        <x:v>1114.01</x:v>
      </x:c>
      <x:c r="L340" s="42" t="n">
        <x:v>0.5559285823287043</x:v>
      </x:c>
      <x:c r="M340" s="44" t="n">
        <x:v>-494.70000000000005</x:v>
      </x:c>
      <x:c r="N340" s="41" t="n">
        <x:v>-0.7987922042272854</x:v>
      </x:c>
    </x:row>
    <x:row r="341" ht="15" hidden="0" customHeight="1">
      <x:c r="A341" s="43" t="str">
        <x:v>2026-02-18</x:v>
      </x:c>
      <x:c r="B341" s="39" t="str">
        <x:v>Paid Search</x:v>
      </x:c>
      <x:c r="C341" s="39" t="n">
        <x:v>2900</x:v>
      </x:c>
      <x:c r="D341" s="39" t="n">
        <x:v>166</x:v>
      </x:c>
      <x:c r="E341" s="39" t="n">
        <x:v>2</x:v>
      </x:c>
      <x:c r="F341" s="44" t="n">
        <x:v>3270.63</x:v>
      </x:c>
      <x:c r="G341" s="44" t="n">
        <x:v>1066.1399999999999</x:v>
      </x:c>
      <x:c r="H341" s="39" t="n">
        <x:v>6</x:v>
      </x:c>
      <x:c r="I341" s="41" t="n">
        <x:v>0.05724137931034483</x:v>
      </x:c>
      <x:c r="J341" s="41" t="n">
        <x:v>0.012048192771084338</x:v>
      </x:c>
      <x:c r="K341" s="44" t="n">
        <x:v>1635.315</x:v>
      </x:c>
      <x:c r="L341" s="42" t="n">
        <x:v>0.3259738949376725</x:v>
      </x:c>
      <x:c r="M341" s="44" t="n">
        <x:v>-2204.4900000000002</x:v>
      </x:c>
      <x:c r="N341" s="41" t="n">
        <x:v>-2.0677303168439423</x:v>
      </x:c>
    </x:row>
    <x:row r="342" ht="15" hidden="0" customHeight="1">
      <x:c r="A342" s="43" t="str">
        <x:v>2026-02-18</x:v>
      </x:c>
      <x:c r="B342" s="39" t="str">
        <x:v>Partnerships</x:v>
      </x:c>
      <x:c r="C342" s="39" t="n">
        <x:v>3036</x:v>
      </x:c>
      <x:c r="D342" s="39" t="n">
        <x:v>142</x:v>
      </x:c>
      <x:c r="E342" s="39" t="n">
        <x:v>1</x:v>
      </x:c>
      <x:c r="F342" s="44" t="n">
        <x:v>1079.1</x:v>
      </x:c>
      <x:c r="G342" s="44" t="n">
        <x:v>259.2</x:v>
      </x:c>
      <x:c r="H342" s="39" t="n">
        <x:v>6</x:v>
      </x:c>
      <x:c r="I342" s="41" t="n">
        <x:v>0.046772068511198944</x:v>
      </x:c>
      <x:c r="J342" s="41" t="n">
        <x:v>0.007042253521126761</x:v>
      </x:c>
      <x:c r="K342" s="44" t="n">
        <x:v>1079.1</x:v>
      </x:c>
      <x:c r="L342" s="42" t="n">
        <x:v>0.2402001668056714</x:v>
      </x:c>
      <x:c r="M342" s="44" t="n">
        <x:v>-819.8999999999999</x:v>
      </x:c>
      <x:c r="N342" s="41" t="n">
        <x:v>-3.163194444444444</x:v>
      </x:c>
    </x:row>
    <x:row r="343" ht="15" hidden="0" customHeight="1">
      <x:c r="A343" s="43" t="str">
        <x:v>2026-02-18</x:v>
      </x:c>
      <x:c r="B343" s="39" t="str">
        <x:v>Referral</x:v>
      </x:c>
      <x:c r="C343" s="39" t="n">
        <x:v>3434</x:v>
      </x:c>
      <x:c r="D343" s="39" t="n">
        <x:v>284</x:v>
      </x:c>
      <x:c r="E343" s="39" t="n">
        <x:v>7</x:v>
      </x:c>
      <x:c r="F343" s="44" t="n">
        <x:v>335.02</x:v>
      </x:c>
      <x:c r="G343" s="44" t="n">
        <x:v>3934.76</x:v>
      </x:c>
      <x:c r="H343" s="39" t="n">
        <x:v>6</x:v>
      </x:c>
      <x:c r="I343" s="41" t="n">
        <x:v>0.08270238788584741</x:v>
      </x:c>
      <x:c r="J343" s="41" t="n">
        <x:v>0.02464788732394366</x:v>
      </x:c>
      <x:c r="K343" s="44" t="n">
        <x:v>47.86</x:v>
      </x:c>
      <x:c r="L343" s="42" t="n">
        <x:v>11.74485105366844</x:v>
      </x:c>
      <x:c r="M343" s="44" t="n">
        <x:v>3599.7400000000002</x:v>
      </x:c>
      <x:c r="N343" s="41" t="n">
        <x:v>0.9148563063566775</x:v>
      </x:c>
    </x:row>
    <x:row r="344" ht="15" hidden="0" customHeight="1">
      <x:c r="A344" s="43" t="str">
        <x:v>2026-02-18</x:v>
      </x:c>
      <x:c r="B344" s="39" t="str">
        <x:v>SEO</x:v>
      </x:c>
      <x:c r="C344" s="39" t="n">
        <x:v>2610</x:v>
      </x:c>
      <x:c r="D344" s="39" t="n">
        <x:v>99</x:v>
      </x:c>
      <x:c r="E344" s="39" t="n">
        <x:v>1</x:v>
      </x:c>
      <x:c r="F344" s="44" t="n">
        <x:v>1292.21</x:v>
      </x:c>
      <x:c r="G344" s="44" t="n">
        <x:v>326.45</x:v>
      </x:c>
      <x:c r="H344" s="39" t="n">
        <x:v>6</x:v>
      </x:c>
      <x:c r="I344" s="41" t="n">
        <x:v>0.03793103448275862</x:v>
      </x:c>
      <x:c r="J344" s="41" t="n">
        <x:v>0.010101010101010102</x:v>
      </x:c>
      <x:c r="K344" s="44" t="n">
        <x:v>1292.21</x:v>
      </x:c>
      <x:c r="L344" s="42" t="n">
        <x:v>0.2526292166133987</x:v>
      </x:c>
      <x:c r="M344" s="44" t="n">
        <x:v>-965.76</x:v>
      </x:c>
      <x:c r="N344" s="41" t="n">
        <x:v>-2.9583703476795833</x:v>
      </x:c>
    </x:row>
    <x:row r="345" ht="15" hidden="0" customHeight="1">
      <x:c r="A345" s="43" t="str">
        <x:v>2026-02-19</x:v>
      </x:c>
      <x:c r="B345" s="39" t="str">
        <x:v>Content</x:v>
      </x:c>
      <x:c r="C345" s="39" t="n">
        <x:v>1686</x:v>
      </x:c>
      <x:c r="D345" s="39" t="n">
        <x:v>69</x:v>
      </x:c>
      <x:c r="E345" s="39" t="n">
        <x:v>0</x:v>
      </x:c>
      <x:c r="F345" s="44" t="n">
        <x:v>599.03</x:v>
      </x:c>
      <x:c r="G345" s="44" t="n">
        <x:v>0</x:v>
      </x:c>
      <x:c r="H345" s="39" t="n">
        <x:v>6</x:v>
      </x:c>
      <x:c r="I345" s="41" t="n">
        <x:v>0.04092526690391459</x:v>
      </x:c>
      <x:c r="J345" s="41" t="n">
        <x:v>0</x:v>
      </x:c>
      <x:c r="K345" s="44"/>
      <x:c r="L345" s="42" t="n">
        <x:v>0</x:v>
      </x:c>
      <x:c r="M345" s="44" t="n">
        <x:v>-599.03</x:v>
      </x:c>
      <x:c r="N345" s="41"/>
    </x:row>
    <x:row r="346" ht="15" hidden="0" customHeight="1">
      <x:c r="A346" s="43" t="str">
        <x:v>2026-02-19</x:v>
      </x:c>
      <x:c r="B346" s="39" t="str">
        <x:v>LinkedIn Ads</x:v>
      </x:c>
      <x:c r="C346" s="39" t="n">
        <x:v>2608</x:v>
      </x:c>
      <x:c r="D346" s="39" t="n">
        <x:v>53</x:v>
      </x:c>
      <x:c r="E346" s="39" t="n">
        <x:v>0</x:v>
      </x:c>
      <x:c r="F346" s="44" t="n">
        <x:v>848.24</x:v>
      </x:c>
      <x:c r="G346" s="44" t="n">
        <x:v>0</x:v>
      </x:c>
      <x:c r="H346" s="39" t="n">
        <x:v>6</x:v>
      </x:c>
      <x:c r="I346" s="41" t="n">
        <x:v>0.020322085889570553</x:v>
      </x:c>
      <x:c r="J346" s="41" t="n">
        <x:v>0</x:v>
      </x:c>
      <x:c r="K346" s="44"/>
      <x:c r="L346" s="42" t="n">
        <x:v>0</x:v>
      </x:c>
      <x:c r="M346" s="44" t="n">
        <x:v>-848.24</x:v>
      </x:c>
      <x:c r="N346" s="41"/>
    </x:row>
    <x:row r="347" ht="15" hidden="0" customHeight="1">
      <x:c r="A347" s="43" t="str">
        <x:v>2026-02-19</x:v>
      </x:c>
      <x:c r="B347" s="39" t="str">
        <x:v>Outbound Sales</x:v>
      </x:c>
      <x:c r="C347" s="39" t="n">
        <x:v>2393</x:v>
      </x:c>
      <x:c r="D347" s="39" t="n">
        <x:v>52</x:v>
      </x:c>
      <x:c r="E347" s="39" t="n">
        <x:v>0</x:v>
      </x:c>
      <x:c r="F347" s="44" t="n">
        <x:v>755.04</x:v>
      </x:c>
      <x:c r="G347" s="44" t="n">
        <x:v>0</x:v>
      </x:c>
      <x:c r="H347" s="39" t="n">
        <x:v>6</x:v>
      </x:c>
      <x:c r="I347" s="41" t="n">
        <x:v>0.02173004596740493</x:v>
      </x:c>
      <x:c r="J347" s="41" t="n">
        <x:v>0</x:v>
      </x:c>
      <x:c r="K347" s="44"/>
      <x:c r="L347" s="42" t="n">
        <x:v>0</x:v>
      </x:c>
      <x:c r="M347" s="44" t="n">
        <x:v>-755.04</x:v>
      </x:c>
      <x:c r="N347" s="41"/>
    </x:row>
    <x:row r="348" ht="15" hidden="0" customHeight="1">
      <x:c r="A348" s="43" t="str">
        <x:v>2026-02-19</x:v>
      </x:c>
      <x:c r="B348" s="39" t="str">
        <x:v>Paid Search</x:v>
      </x:c>
      <x:c r="C348" s="39" t="n">
        <x:v>2674</x:v>
      </x:c>
      <x:c r="D348" s="39" t="n">
        <x:v>94</x:v>
      </x:c>
      <x:c r="E348" s="39" t="n">
        <x:v>1</x:v>
      </x:c>
      <x:c r="F348" s="44" t="n">
        <x:v>1427.95</x:v>
      </x:c>
      <x:c r="G348" s="44" t="n">
        <x:v>359.84</x:v>
      </x:c>
      <x:c r="H348" s="39" t="n">
        <x:v>6</x:v>
      </x:c>
      <x:c r="I348" s="41" t="n">
        <x:v>0.035153328347045626</x:v>
      </x:c>
      <x:c r="J348" s="41" t="n">
        <x:v>0.010638297872340425</x:v>
      </x:c>
      <x:c r="K348" s="44" t="n">
        <x:v>1427.95</x:v>
      </x:c>
      <x:c r="L348" s="42" t="n">
        <x:v>0.25199761896424944</x:v>
      </x:c>
      <x:c r="M348" s="44" t="n">
        <x:v>-1068.1100000000001</x:v>
      </x:c>
      <x:c r="N348" s="41" t="n">
        <x:v>-2.968291462872388</x:v>
      </x:c>
    </x:row>
    <x:row r="349" ht="15" hidden="0" customHeight="1">
      <x:c r="A349" s="43" t="str">
        <x:v>2026-02-19</x:v>
      </x:c>
      <x:c r="B349" s="39" t="str">
        <x:v>Partnerships</x:v>
      </x:c>
      <x:c r="C349" s="39" t="n">
        <x:v>1999</x:v>
      </x:c>
      <x:c r="D349" s="39" t="n">
        <x:v>70</x:v>
      </x:c>
      <x:c r="E349" s="39" t="n">
        <x:v>0</x:v>
      </x:c>
      <x:c r="F349" s="44" t="n">
        <x:v>605.71</x:v>
      </x:c>
      <x:c r="G349" s="44" t="n">
        <x:v>0</x:v>
      </x:c>
      <x:c r="H349" s="39" t="n">
        <x:v>6</x:v>
      </x:c>
      <x:c r="I349" s="41" t="n">
        <x:v>0.03501750875437719</x:v>
      </x:c>
      <x:c r="J349" s="41" t="n">
        <x:v>0</x:v>
      </x:c>
      <x:c r="K349" s="44"/>
      <x:c r="L349" s="42" t="n">
        <x:v>0</x:v>
      </x:c>
      <x:c r="M349" s="44" t="n">
        <x:v>-605.71</x:v>
      </x:c>
      <x:c r="N349" s="41"/>
    </x:row>
    <x:row r="350" ht="15" hidden="0" customHeight="1">
      <x:c r="A350" s="43" t="str">
        <x:v>2026-02-19</x:v>
      </x:c>
      <x:c r="B350" s="39" t="str">
        <x:v>Referral</x:v>
      </x:c>
      <x:c r="C350" s="39" t="n">
        <x:v>2846</x:v>
      </x:c>
      <x:c r="D350" s="39" t="n">
        <x:v>223</x:v>
      </x:c>
      <x:c r="E350" s="39" t="n">
        <x:v>8</x:v>
      </x:c>
      <x:c r="F350" s="44" t="n">
        <x:v>279</x:v>
      </x:c>
      <x:c r="G350" s="44" t="n">
        <x:v>3876.23</x:v>
      </x:c>
      <x:c r="H350" s="39" t="n">
        <x:v>6</x:v>
      </x:c>
      <x:c r="I350" s="41" t="n">
        <x:v>0.07835558678847505</x:v>
      </x:c>
      <x:c r="J350" s="41" t="n">
        <x:v>0.03587443946188341</x:v>
      </x:c>
      <x:c r="K350" s="44" t="n">
        <x:v>34.875</x:v>
      </x:c>
      <x:c r="L350" s="42" t="n">
        <x:v>13.893297491039426</x:v>
      </x:c>
      <x:c r="M350" s="44" t="n">
        <x:v>3597.23</x:v>
      </x:c>
      <x:c r="N350" s="41" t="n">
        <x:v>0.928022846941487</x:v>
      </x:c>
    </x:row>
    <x:row r="351" ht="15" hidden="0" customHeight="1">
      <x:c r="A351" s="43" t="str">
        <x:v>2026-02-19</x:v>
      </x:c>
      <x:c r="B351" s="39" t="str">
        <x:v>SEO</x:v>
      </x:c>
      <x:c r="C351" s="39" t="n">
        <x:v>2033</x:v>
      </x:c>
      <x:c r="D351" s="39" t="n">
        <x:v>86</x:v>
      </x:c>
      <x:c r="E351" s="39" t="n">
        <x:v>0</x:v>
      </x:c>
      <x:c r="F351" s="44" t="n">
        <x:v>724.9000000000001</x:v>
      </x:c>
      <x:c r="G351" s="44" t="n">
        <x:v>0</x:v>
      </x:c>
      <x:c r="H351" s="39" t="n">
        <x:v>6</x:v>
      </x:c>
      <x:c r="I351" s="41" t="n">
        <x:v>0.04230201672405312</x:v>
      </x:c>
      <x:c r="J351" s="41" t="n">
        <x:v>0</x:v>
      </x:c>
      <x:c r="K351" s="44"/>
      <x:c r="L351" s="42" t="n">
        <x:v>0</x:v>
      </x:c>
      <x:c r="M351" s="44" t="n">
        <x:v>-724.9000000000001</x:v>
      </x:c>
      <x:c r="N351" s="41"/>
    </x:row>
    <x:row r="352" ht="15" hidden="0" customHeight="1">
      <x:c r="A352" s="43" t="str">
        <x:v>2026-02-20</x:v>
      </x:c>
      <x:c r="B352" s="39" t="str">
        <x:v>Content</x:v>
      </x:c>
      <x:c r="C352" s="39" t="n">
        <x:v>1795</x:v>
      </x:c>
      <x:c r="D352" s="39" t="n">
        <x:v>94</x:v>
      </x:c>
      <x:c r="E352" s="39" t="n">
        <x:v>1</x:v>
      </x:c>
      <x:c r="F352" s="44" t="n">
        <x:v>844.35</x:v>
      </x:c>
      <x:c r="G352" s="44" t="n">
        <x:v>317.51</x:v>
      </x:c>
      <x:c r="H352" s="39" t="n">
        <x:v>6</x:v>
      </x:c>
      <x:c r="I352" s="41" t="n">
        <x:v>0.05236768802228412</x:v>
      </x:c>
      <x:c r="J352" s="41" t="n">
        <x:v>0.010638297872340425</x:v>
      </x:c>
      <x:c r="K352" s="44" t="n">
        <x:v>844.35</x:v>
      </x:c>
      <x:c r="L352" s="42" t="n">
        <x:v>0.376040741398709</x:v>
      </x:c>
      <x:c r="M352" s="44" t="n">
        <x:v>-526.84</x:v>
      </x:c>
      <x:c r="N352" s="41" t="n">
        <x:v>-1.6592863216906555</x:v>
      </x:c>
    </x:row>
    <x:row r="353" ht="15" hidden="0" customHeight="1">
      <x:c r="A353" s="43" t="str">
        <x:v>2026-02-20</x:v>
      </x:c>
      <x:c r="B353" s="39" t="str">
        <x:v>LinkedIn Ads</x:v>
      </x:c>
      <x:c r="C353" s="39" t="n">
        <x:v>1982</x:v>
      </x:c>
      <x:c r="D353" s="39" t="n">
        <x:v>180</x:v>
      </x:c>
      <x:c r="E353" s="39" t="n">
        <x:v>1</x:v>
      </x:c>
      <x:c r="F353" s="44" t="n">
        <x:v>1265.51</x:v>
      </x:c>
      <x:c r="G353" s="44" t="n">
        <x:v>303.29</x:v>
      </x:c>
      <x:c r="H353" s="39" t="n">
        <x:v>6</x:v>
      </x:c>
      <x:c r="I353" s="41" t="n">
        <x:v>0.09081735620585267</x:v>
      </x:c>
      <x:c r="J353" s="41" t="n">
        <x:v>0.005555555555555556</x:v>
      </x:c>
      <x:c r="K353" s="44" t="n">
        <x:v>1265.51</x:v>
      </x:c>
      <x:c r="L353" s="42" t="n">
        <x:v>0.23965831957076594</x:v>
      </x:c>
      <x:c r="M353" s="44" t="n">
        <x:v>-962.22</x:v>
      </x:c>
      <x:c r="N353" s="41" t="n">
        <x:v>-3.172607075736094</x:v>
      </x:c>
    </x:row>
    <x:row r="354" ht="15" hidden="0" customHeight="1">
      <x:c r="A354" s="43" t="str">
        <x:v>2026-02-20</x:v>
      </x:c>
      <x:c r="B354" s="39" t="str">
        <x:v>Outbound Sales</x:v>
      </x:c>
      <x:c r="C354" s="39" t="n">
        <x:v>2141</x:v>
      </x:c>
      <x:c r="D354" s="39" t="n">
        <x:v>132</x:v>
      </x:c>
      <x:c r="E354" s="39" t="n">
        <x:v>1</x:v>
      </x:c>
      <x:c r="F354" s="44" t="n">
        <x:v>918.75</x:v>
      </x:c>
      <x:c r="G354" s="44" t="n">
        <x:v>341.49</x:v>
      </x:c>
      <x:c r="H354" s="39" t="n">
        <x:v>6</x:v>
      </x:c>
      <x:c r="I354" s="41" t="n">
        <x:v>0.06165343297524521</x:v>
      </x:c>
      <x:c r="J354" s="41" t="n">
        <x:v>0.007575757575757576</x:v>
      </x:c>
      <x:c r="K354" s="44" t="n">
        <x:v>918.75</x:v>
      </x:c>
      <x:c r="L354" s="42" t="n">
        <x:v>0.37168979591836737</x:v>
      </x:c>
      <x:c r="M354" s="44" t="n">
        <x:v>-577.26</x:v>
      </x:c>
      <x:c r="N354" s="41" t="n">
        <x:v>-1.6904155319335852</x:v>
      </x:c>
    </x:row>
    <x:row r="355" ht="15" hidden="0" customHeight="1">
      <x:c r="A355" s="43" t="str">
        <x:v>2026-02-20</x:v>
      </x:c>
      <x:c r="B355" s="39" t="str">
        <x:v>Paid Search</x:v>
      </x:c>
      <x:c r="C355" s="39" t="n">
        <x:v>2729</x:v>
      </x:c>
      <x:c r="D355" s="39" t="n">
        <x:v>119</x:v>
      </x:c>
      <x:c r="E355" s="39" t="n">
        <x:v>3</x:v>
      </x:c>
      <x:c r="F355" s="44" t="n">
        <x:v>2138.86</x:v>
      </x:c>
      <x:c r="G355" s="44" t="n">
        <x:v>1279.5700000000002</x:v>
      </x:c>
      <x:c r="H355" s="39" t="n">
        <x:v>6</x:v>
      </x:c>
      <x:c r="I355" s="41" t="n">
        <x:v>0.043605716379626236</x:v>
      </x:c>
      <x:c r="J355" s="41" t="n">
        <x:v>0.025210084033613446</x:v>
      </x:c>
      <x:c r="K355" s="44" t="n">
        <x:v>712.9533333333334</x:v>
      </x:c>
      <x:c r="L355" s="42" t="n">
        <x:v>0.5982485997213469</x:v>
      </x:c>
      <x:c r="M355" s="44" t="n">
        <x:v>-859.29</x:v>
      </x:c>
      <x:c r="N355" s="41" t="n">
        <x:v>-0.6715459099541251</x:v>
      </x:c>
    </x:row>
    <x:row r="356" ht="15" hidden="0" customHeight="1">
      <x:c r="A356" s="43" t="str">
        <x:v>2026-02-20</x:v>
      </x:c>
      <x:c r="B356" s="39" t="str">
        <x:v>Partnerships</x:v>
      </x:c>
      <x:c r="C356" s="39" t="n">
        <x:v>2202</x:v>
      </x:c>
      <x:c r="D356" s="39" t="n">
        <x:v>61</x:v>
      </x:c>
      <x:c r="E356" s="39" t="n">
        <x:v>0</x:v>
      </x:c>
      <x:c r="F356" s="44" t="n">
        <x:v>819.65</x:v>
      </x:c>
      <x:c r="G356" s="44" t="n">
        <x:v>0</x:v>
      </x:c>
      <x:c r="H356" s="39" t="n">
        <x:v>6</x:v>
      </x:c>
      <x:c r="I356" s="41" t="n">
        <x:v>0.027702089009990917</x:v>
      </x:c>
      <x:c r="J356" s="41" t="n">
        <x:v>0</x:v>
      </x:c>
      <x:c r="K356" s="44"/>
      <x:c r="L356" s="42" t="n">
        <x:v>0</x:v>
      </x:c>
      <x:c r="M356" s="44" t="n">
        <x:v>-819.65</x:v>
      </x:c>
      <x:c r="N356" s="41"/>
    </x:row>
    <x:row r="357" ht="15" hidden="0" customHeight="1">
      <x:c r="A357" s="43" t="str">
        <x:v>2026-02-20</x:v>
      </x:c>
      <x:c r="B357" s="39" t="str">
        <x:v>Referral</x:v>
      </x:c>
      <x:c r="C357" s="39" t="n">
        <x:v>2386</x:v>
      </x:c>
      <x:c r="D357" s="39" t="n">
        <x:v>165</x:v>
      </x:c>
      <x:c r="E357" s="39" t="n">
        <x:v>5</x:v>
      </x:c>
      <x:c r="F357" s="44" t="n">
        <x:v>339.76</x:v>
      </x:c>
      <x:c r="G357" s="44" t="n">
        <x:v>3085.24</x:v>
      </x:c>
      <x:c r="H357" s="39" t="n">
        <x:v>6</x:v>
      </x:c>
      <x:c r="I357" s="41" t="n">
        <x:v>0.0691533948030176</x:v>
      </x:c>
      <x:c r="J357" s="41" t="n">
        <x:v>0.030303030303030304</x:v>
      </x:c>
      <x:c r="K357" s="44" t="n">
        <x:v>67.952</x:v>
      </x:c>
      <x:c r="L357" s="42" t="n">
        <x:v>9.080645161290322</x:v>
      </x:c>
      <x:c r="M357" s="44" t="n">
        <x:v>2745.4799999999996</x:v>
      </x:c>
      <x:c r="N357" s="41" t="n">
        <x:v>0.8898756660746002</x:v>
      </x:c>
    </x:row>
    <x:row r="358" ht="15" hidden="0" customHeight="1">
      <x:c r="A358" s="43" t="str">
        <x:v>2026-02-20</x:v>
      </x:c>
      <x:c r="B358" s="39" t="str">
        <x:v>SEO</x:v>
      </x:c>
      <x:c r="C358" s="39" t="n">
        <x:v>2045</x:v>
      </x:c>
      <x:c r="D358" s="39" t="n">
        <x:v>131</x:v>
      </x:c>
      <x:c r="E358" s="39" t="n">
        <x:v>2</x:v>
      </x:c>
      <x:c r="F358" s="44" t="n">
        <x:v>960.9</x:v>
      </x:c>
      <x:c r="G358" s="44" t="n">
        <x:v>676.1099999999999</x:v>
      </x:c>
      <x:c r="H358" s="39" t="n">
        <x:v>6</x:v>
      </x:c>
      <x:c r="I358" s="41" t="n">
        <x:v>0.06405867970660147</x:v>
      </x:c>
      <x:c r="J358" s="41" t="n">
        <x:v>0.015267175572519083</x:v>
      </x:c>
      <x:c r="K358" s="44" t="n">
        <x:v>480.45</x:v>
      </x:c>
      <x:c r="L358" s="42" t="n">
        <x:v>0.7036216047455509</x:v>
      </x:c>
      <x:c r="M358" s="44" t="n">
        <x:v>-284.7900000000001</x:v>
      </x:c>
      <x:c r="N358" s="41" t="n">
        <x:v>-0.42121844078626275</x:v>
      </x:c>
    </x:row>
    <x:row r="359" ht="15" hidden="0" customHeight="1">
      <x:c r="A359" s="43" t="str">
        <x:v>2026-02-21</x:v>
      </x:c>
      <x:c r="B359" s="39" t="str">
        <x:v>Content</x:v>
      </x:c>
      <x:c r="C359" s="39" t="n">
        <x:v>1891</x:v>
      </x:c>
      <x:c r="D359" s="39" t="n">
        <x:v>71</x:v>
      </x:c>
      <x:c r="E359" s="39" t="n">
        <x:v>0</x:v>
      </x:c>
      <x:c r="F359" s="44" t="n">
        <x:v>616.36</x:v>
      </x:c>
      <x:c r="G359" s="44" t="n">
        <x:v>0</x:v>
      </x:c>
      <x:c r="H359" s="39" t="n">
        <x:v>6</x:v>
      </x:c>
      <x:c r="I359" s="41" t="n">
        <x:v>0.0375462718138551</x:v>
      </x:c>
      <x:c r="J359" s="41" t="n">
        <x:v>0</x:v>
      </x:c>
      <x:c r="K359" s="44"/>
      <x:c r="L359" s="42" t="n">
        <x:v>0</x:v>
      </x:c>
      <x:c r="M359" s="44" t="n">
        <x:v>-616.36</x:v>
      </x:c>
      <x:c r="N359" s="41"/>
    </x:row>
    <x:row r="360" ht="15" hidden="0" customHeight="1">
      <x:c r="A360" s="43" t="str">
        <x:v>2026-02-21</x:v>
      </x:c>
      <x:c r="B360" s="39" t="str">
        <x:v>LinkedIn Ads</x:v>
      </x:c>
      <x:c r="C360" s="39" t="n">
        <x:v>2106</x:v>
      </x:c>
      <x:c r="D360" s="39" t="n">
        <x:v>102</x:v>
      </x:c>
      <x:c r="E360" s="39" t="n">
        <x:v>0</x:v>
      </x:c>
      <x:c r="F360" s="44" t="n">
        <x:v>883.75</x:v>
      </x:c>
      <x:c r="G360" s="44" t="n">
        <x:v>0</x:v>
      </x:c>
      <x:c r="H360" s="39" t="n">
        <x:v>6</x:v>
      </x:c>
      <x:c r="I360" s="41" t="n">
        <x:v>0.04843304843304843</x:v>
      </x:c>
      <x:c r="J360" s="41" t="n">
        <x:v>0</x:v>
      </x:c>
      <x:c r="K360" s="44"/>
      <x:c r="L360" s="42" t="n">
        <x:v>0</x:v>
      </x:c>
      <x:c r="M360" s="44" t="n">
        <x:v>-883.75</x:v>
      </x:c>
      <x:c r="N360" s="41"/>
    </x:row>
    <x:row r="361" ht="15" hidden="0" customHeight="1">
      <x:c r="A361" s="43" t="str">
        <x:v>2026-02-21</x:v>
      </x:c>
      <x:c r="B361" s="39" t="str">
        <x:v>Outbound Sales</x:v>
      </x:c>
      <x:c r="C361" s="39" t="n">
        <x:v>2275</x:v>
      </x:c>
      <x:c r="D361" s="39" t="n">
        <x:v>244</x:v>
      </x:c>
      <x:c r="E361" s="39" t="n">
        <x:v>1</x:v>
      </x:c>
      <x:c r="F361" s="44" t="n">
        <x:v>1032.93</x:v>
      </x:c>
      <x:c r="G361" s="44" t="n">
        <x:v>791.69</x:v>
      </x:c>
      <x:c r="H361" s="39" t="n">
        <x:v>6</x:v>
      </x:c>
      <x:c r="I361" s="41" t="n">
        <x:v>0.10725274725274725</x:v>
      </x:c>
      <x:c r="J361" s="41" t="n">
        <x:v>0.004098360655737705</x:v>
      </x:c>
      <x:c r="K361" s="44" t="n">
        <x:v>1032.93</x:v>
      </x:c>
      <x:c r="L361" s="42" t="n">
        <x:v>0.7664507759480313</x:v>
      </x:c>
      <x:c r="M361" s="44" t="n">
        <x:v>-241.24</x:v>
      </x:c>
      <x:c r="N361" s="41" t="n">
        <x:v>-0.30471522944586893</x:v>
      </x:c>
    </x:row>
    <x:row r="362" ht="15" hidden="0" customHeight="1">
      <x:c r="A362" s="43" t="str">
        <x:v>2026-02-21</x:v>
      </x:c>
      <x:c r="B362" s="39" t="str">
        <x:v>Paid Search</x:v>
      </x:c>
      <x:c r="C362" s="39" t="n">
        <x:v>2260</x:v>
      </x:c>
      <x:c r="D362" s="39" t="n">
        <x:v>196</x:v>
      </x:c>
      <x:c r="E362" s="39" t="n">
        <x:v>2</x:v>
      </x:c>
      <x:c r="F362" s="44" t="n">
        <x:v>1469.48</x:v>
      </x:c>
      <x:c r="G362" s="44" t="n">
        <x:v>943.7</x:v>
      </x:c>
      <x:c r="H362" s="39" t="n">
        <x:v>6</x:v>
      </x:c>
      <x:c r="I362" s="41" t="n">
        <x:v>0.08672566371681416</x:v>
      </x:c>
      <x:c r="J362" s="41" t="n">
        <x:v>0.01020408163265306</x:v>
      </x:c>
      <x:c r="K362" s="44" t="n">
        <x:v>734.74</x:v>
      </x:c>
      <x:c r="L362" s="42" t="n">
        <x:v>0.6421999618912813</x:v>
      </x:c>
      <x:c r="M362" s="44" t="n">
        <x:v>-525.78</x:v>
      </x:c>
      <x:c r="N362" s="41" t="n">
        <x:v>-0.5571473985376708</x:v>
      </x:c>
    </x:row>
    <x:row r="363" ht="15" hidden="0" customHeight="1">
      <x:c r="A363" s="43" t="str">
        <x:v>2026-02-21</x:v>
      </x:c>
      <x:c r="B363" s="39" t="str">
        <x:v>Partnerships</x:v>
      </x:c>
      <x:c r="C363" s="39" t="n">
        <x:v>2700</x:v>
      </x:c>
      <x:c r="D363" s="39" t="n">
        <x:v>125</x:v>
      </x:c>
      <x:c r="E363" s="39" t="n">
        <x:v>1</x:v>
      </x:c>
      <x:c r="F363" s="44" t="n">
        <x:v>741.95</x:v>
      </x:c>
      <x:c r="G363" s="44" t="n">
        <x:v>771.89</x:v>
      </x:c>
      <x:c r="H363" s="39" t="n">
        <x:v>6</x:v>
      </x:c>
      <x:c r="I363" s="41" t="n">
        <x:v>0.046296296296296294</x:v>
      </x:c>
      <x:c r="J363" s="41" t="n">
        <x:v>0.008</x:v>
      </x:c>
      <x:c r="K363" s="44" t="n">
        <x:v>741.95</x:v>
      </x:c>
      <x:c r="L363" s="42" t="n">
        <x:v>1.040353123525844</x:v>
      </x:c>
      <x:c r="M363" s="44" t="n">
        <x:v>29.93999999999994</x:v>
      </x:c>
      <x:c r="N363" s="41" t="n">
        <x:v>0.03878791019445768</x:v>
      </x:c>
    </x:row>
    <x:row r="364" ht="15" hidden="0" customHeight="1">
      <x:c r="A364" s="43" t="str">
        <x:v>2026-02-21</x:v>
      </x:c>
      <x:c r="B364" s="39" t="str">
        <x:v>Referral</x:v>
      </x:c>
      <x:c r="C364" s="39" t="n">
        <x:v>2486</x:v>
      </x:c>
      <x:c r="D364" s="39" t="n">
        <x:v>216</x:v>
      </x:c>
      <x:c r="E364" s="39" t="n">
        <x:v>6</x:v>
      </x:c>
      <x:c r="F364" s="44" t="n">
        <x:v>323.51</x:v>
      </x:c>
      <x:c r="G364" s="44" t="n">
        <x:v>2725.6099999999997</x:v>
      </x:c>
      <x:c r="H364" s="39" t="n">
        <x:v>6</x:v>
      </x:c>
      <x:c r="I364" s="41" t="n">
        <x:v>0.08688656476267095</x:v>
      </x:c>
      <x:c r="J364" s="41" t="n">
        <x:v>0.027777777777777776</x:v>
      </x:c>
      <x:c r="K364" s="44" t="n">
        <x:v>53.91833333333333</x:v>
      </x:c>
      <x:c r="L364" s="42" t="n">
        <x:v>8.425118234366789</x:v>
      </x:c>
      <x:c r="M364" s="44" t="n">
        <x:v>2402.0999999999995</x:v>
      </x:c>
      <x:c r="N364" s="41" t="n">
        <x:v>0.8813073036861472</x:v>
      </x:c>
    </x:row>
    <x:row r="365" ht="15" hidden="0" customHeight="1">
      <x:c r="A365" s="43" t="str">
        <x:v>2026-02-21</x:v>
      </x:c>
      <x:c r="B365" s="39" t="str">
        <x:v>SEO</x:v>
      </x:c>
      <x:c r="C365" s="39" t="n">
        <x:v>2090</x:v>
      </x:c>
      <x:c r="D365" s="39" t="n">
        <x:v>80</x:v>
      </x:c>
      <x:c r="E365" s="39" t="n">
        <x:v>0</x:v>
      </x:c>
      <x:c r="F365" s="44" t="n">
        <x:v>757.75</x:v>
      </x:c>
      <x:c r="G365" s="44" t="n">
        <x:v>0</x:v>
      </x:c>
      <x:c r="H365" s="39" t="n">
        <x:v>6</x:v>
      </x:c>
      <x:c r="I365" s="41" t="n">
        <x:v>0.03827751196172249</x:v>
      </x:c>
      <x:c r="J365" s="41" t="n">
        <x:v>0</x:v>
      </x:c>
      <x:c r="K365" s="44"/>
      <x:c r="L365" s="42" t="n">
        <x:v>0</x:v>
      </x:c>
      <x:c r="M365" s="44" t="n">
        <x:v>-757.75</x:v>
      </x:c>
      <x:c r="N365" s="41"/>
    </x:row>
    <x:row r="366" ht="15" hidden="0" customHeight="1">
      <x:c r="A366" s="43" t="str">
        <x:v>2026-02-22</x:v>
      </x:c>
      <x:c r="B366" s="39" t="str">
        <x:v>Content</x:v>
      </x:c>
      <x:c r="C366" s="39" t="n">
        <x:v>1907</x:v>
      </x:c>
      <x:c r="D366" s="39" t="n">
        <x:v>82</x:v>
      </x:c>
      <x:c r="E366" s="39" t="n">
        <x:v>2</x:v>
      </x:c>
      <x:c r="F366" s="44" t="n">
        <x:v>991.28</x:v>
      </x:c>
      <x:c r="G366" s="44" t="n">
        <x:v>880.02</x:v>
      </x:c>
      <x:c r="H366" s="39" t="n">
        <x:v>6</x:v>
      </x:c>
      <x:c r="I366" s="41" t="n">
        <x:v>0.04299947561615102</x:v>
      </x:c>
      <x:c r="J366" s="41" t="n">
        <x:v>0.024390243902439025</x:v>
      </x:c>
      <x:c r="K366" s="44" t="n">
        <x:v>495.64</x:v>
      </x:c>
      <x:c r="L366" s="42" t="n">
        <x:v>0.8877612783471874</x:v>
      </x:c>
      <x:c r="M366" s="44" t="n">
        <x:v>-111.25999999999999</x:v>
      </x:c>
      <x:c r="N366" s="41" t="n">
        <x:v>-0.12642894479670916</x:v>
      </x:c>
    </x:row>
    <x:row r="367" ht="15" hidden="0" customHeight="1">
      <x:c r="A367" s="43" t="str">
        <x:v>2026-02-22</x:v>
      </x:c>
      <x:c r="B367" s="39" t="str">
        <x:v>LinkedIn Ads</x:v>
      </x:c>
      <x:c r="C367" s="39" t="n">
        <x:v>2572</x:v>
      </x:c>
      <x:c r="D367" s="39" t="n">
        <x:v>111</x:v>
      </x:c>
      <x:c r="E367" s="39" t="n">
        <x:v>1</x:v>
      </x:c>
      <x:c r="F367" s="44" t="n">
        <x:v>1288.6799999999998</x:v>
      </x:c>
      <x:c r="G367" s="44" t="n">
        <x:v>282.65</x:v>
      </x:c>
      <x:c r="H367" s="39" t="n">
        <x:v>6</x:v>
      </x:c>
      <x:c r="I367" s="41" t="n">
        <x:v>0.04315707620528771</x:v>
      </x:c>
      <x:c r="J367" s="41" t="n">
        <x:v>0.009009009009009009</x:v>
      </x:c>
      <x:c r="K367" s="44" t="n">
        <x:v>1288.6799999999998</x:v>
      </x:c>
      <x:c r="L367" s="42" t="n">
        <x:v>0.21933296085917373</x:v>
      </x:c>
      <x:c r="M367" s="44" t="n">
        <x:v>-1006.0299999999999</x:v>
      </x:c>
      <x:c r="N367" s="41" t="n">
        <x:v>-3.5592782593313284</x:v>
      </x:c>
    </x:row>
    <x:row r="368" ht="15" hidden="0" customHeight="1">
      <x:c r="A368" s="43" t="str">
        <x:v>2026-02-22</x:v>
      </x:c>
      <x:c r="B368" s="39" t="str">
        <x:v>Outbound Sales</x:v>
      </x:c>
      <x:c r="C368" s="39" t="n">
        <x:v>2094</x:v>
      </x:c>
      <x:c r="D368" s="39" t="n">
        <x:v>103</x:v>
      </x:c>
      <x:c r="E368" s="39" t="n">
        <x:v>0</x:v>
      </x:c>
      <x:c r="F368" s="44" t="n">
        <x:v>1121.3600000000001</x:v>
      </x:c>
      <x:c r="G368" s="44" t="n">
        <x:v>0</x:v>
      </x:c>
      <x:c r="H368" s="39" t="n">
        <x:v>6</x:v>
      </x:c>
      <x:c r="I368" s="41" t="n">
        <x:v>0.04918815663801337</x:v>
      </x:c>
      <x:c r="J368" s="41" t="n">
        <x:v>0</x:v>
      </x:c>
      <x:c r="K368" s="44"/>
      <x:c r="L368" s="42" t="n">
        <x:v>0</x:v>
      </x:c>
      <x:c r="M368" s="44" t="n">
        <x:v>-1121.3600000000001</x:v>
      </x:c>
      <x:c r="N368" s="41"/>
    </x:row>
    <x:row r="369" ht="15" hidden="0" customHeight="1">
      <x:c r="A369" s="43" t="str">
        <x:v>2026-02-22</x:v>
      </x:c>
      <x:c r="B369" s="39" t="str">
        <x:v>Paid Search</x:v>
      </x:c>
      <x:c r="C369" s="39" t="n">
        <x:v>3203</x:v>
      </x:c>
      <x:c r="D369" s="39" t="n">
        <x:v>143</x:v>
      </x:c>
      <x:c r="E369" s="39" t="n">
        <x:v>1</x:v>
      </x:c>
      <x:c r="F369" s="44" t="n">
        <x:v>2113.6</x:v>
      </x:c>
      <x:c r="G369" s="44" t="n">
        <x:v>304.44</x:v>
      </x:c>
      <x:c r="H369" s="39" t="n">
        <x:v>6</x:v>
      </x:c>
      <x:c r="I369" s="41" t="n">
        <x:v>0.04464564470808617</x:v>
      </x:c>
      <x:c r="J369" s="41" t="n">
        <x:v>0.006993006993006993</x:v>
      </x:c>
      <x:c r="K369" s="44" t="n">
        <x:v>2113.6</x:v>
      </x:c>
      <x:c r="L369" s="42" t="n">
        <x:v>0.14403860711582137</x:v>
      </x:c>
      <x:c r="M369" s="44" t="n">
        <x:v>-1809.1599999999999</x:v>
      </x:c>
      <x:c r="N369" s="41" t="n">
        <x:v>-5.942583103402969</x:v>
      </x:c>
    </x:row>
    <x:row r="370" ht="15" hidden="0" customHeight="1">
      <x:c r="A370" s="43" t="str">
        <x:v>2026-02-22</x:v>
      </x:c>
      <x:c r="B370" s="39" t="str">
        <x:v>Partnerships</x:v>
      </x:c>
      <x:c r="C370" s="39" t="n">
        <x:v>2297</x:v>
      </x:c>
      <x:c r="D370" s="39" t="n">
        <x:v>156</x:v>
      </x:c>
      <x:c r="E370" s="39" t="n">
        <x:v>1</x:v>
      </x:c>
      <x:c r="F370" s="44" t="n">
        <x:v>907.61</x:v>
      </x:c>
      <x:c r="G370" s="44" t="n">
        <x:v>269.88</x:v>
      </x:c>
      <x:c r="H370" s="39" t="n">
        <x:v>6</x:v>
      </x:c>
      <x:c r="I370" s="41" t="n">
        <x:v>0.06791467131040488</x:v>
      </x:c>
      <x:c r="J370" s="41" t="n">
        <x:v>0.00641025641025641</x:v>
      </x:c>
      <x:c r="K370" s="44" t="n">
        <x:v>907.61</x:v>
      </x:c>
      <x:c r="L370" s="42" t="n">
        <x:v>0.2973523870384857</x:v>
      </x:c>
      <x:c r="M370" s="44" t="n">
        <x:v>-637.73</x:v>
      </x:c>
      <x:c r="N370" s="41" t="n">
        <x:v>-2.363013191047873</x:v>
      </x:c>
    </x:row>
    <x:row r="371" ht="15" hidden="0" customHeight="1">
      <x:c r="A371" s="43" t="str">
        <x:v>2026-02-22</x:v>
      </x:c>
      <x:c r="B371" s="39" t="str">
        <x:v>Referral</x:v>
      </x:c>
      <x:c r="C371" s="39" t="n">
        <x:v>3085</x:v>
      </x:c>
      <x:c r="D371" s="39" t="n">
        <x:v>221</x:v>
      </x:c>
      <x:c r="E371" s="39" t="n">
        <x:v>7</x:v>
      </x:c>
      <x:c r="F371" s="44" t="n">
        <x:v>513.64</x:v>
      </x:c>
      <x:c r="G371" s="44" t="n">
        <x:v>3666.3999999999996</x:v>
      </x:c>
      <x:c r="H371" s="39" t="n">
        <x:v>6</x:v>
      </x:c>
      <x:c r="I371" s="41" t="n">
        <x:v>0.07163695299837926</x:v>
      </x:c>
      <x:c r="J371" s="41" t="n">
        <x:v>0.03167420814479638</x:v>
      </x:c>
      <x:c r="K371" s="44" t="n">
        <x:v>73.37714285714286</x:v>
      </x:c>
      <x:c r="L371" s="42" t="n">
        <x:v>7.13807335877268</x:v>
      </x:c>
      <x:c r="M371" s="44" t="n">
        <x:v>3152.7599999999998</x:v>
      </x:c>
      <x:c r="N371" s="41" t="n">
        <x:v>0.859906174994545</x:v>
      </x:c>
    </x:row>
    <x:row r="372" ht="15" hidden="0" customHeight="1">
      <x:c r="A372" s="43" t="str">
        <x:v>2026-02-22</x:v>
      </x:c>
      <x:c r="B372" s="39" t="str">
        <x:v>SEO</x:v>
      </x:c>
      <x:c r="C372" s="39" t="n">
        <x:v>2684</x:v>
      </x:c>
      <x:c r="D372" s="39" t="n">
        <x:v>176</x:v>
      </x:c>
      <x:c r="E372" s="39" t="n">
        <x:v>3</x:v>
      </x:c>
      <x:c r="F372" s="44" t="n">
        <x:v>1250.29</x:v>
      </x:c>
      <x:c r="G372" s="44" t="n">
        <x:v>971.1</x:v>
      </x:c>
      <x:c r="H372" s="39" t="n">
        <x:v>6</x:v>
      </x:c>
      <x:c r="I372" s="41" t="n">
        <x:v>0.06557377049180328</x:v>
      </x:c>
      <x:c r="J372" s="41" t="n">
        <x:v>0.017045454545454544</x:v>
      </x:c>
      <x:c r="K372" s="44" t="n">
        <x:v>416.7633333333333</x:v>
      </x:c>
      <x:c r="L372" s="42" t="n">
        <x:v>0.7766998056450903</x:v>
      </x:c>
      <x:c r="M372" s="44" t="n">
        <x:v>-279.18999999999994</x:v>
      </x:c>
      <x:c r="N372" s="41" t="n">
        <x:v>-0.28749871279991757</x:v>
      </x:c>
    </x:row>
    <x:row r="373" ht="15" hidden="0" customHeight="1">
      <x:c r="A373" s="43" t="str">
        <x:v>2026-02-23</x:v>
      </x:c>
      <x:c r="B373" s="39" t="str">
        <x:v>Content</x:v>
      </x:c>
      <x:c r="C373" s="39" t="n">
        <x:v>1670</x:v>
      </x:c>
      <x:c r="D373" s="39" t="n">
        <x:v>97</x:v>
      </x:c>
      <x:c r="E373" s="39" t="n">
        <x:v>1</x:v>
      </x:c>
      <x:c r="F373" s="44" t="n">
        <x:v>1065.4</x:v>
      </x:c>
      <x:c r="G373" s="44" t="n">
        <x:v>368.3</x:v>
      </x:c>
      <x:c r="H373" s="39" t="n">
        <x:v>6</x:v>
      </x:c>
      <x:c r="I373" s="41" t="n">
        <x:v>0.05808383233532934</x:v>
      </x:c>
      <x:c r="J373" s="41" t="n">
        <x:v>0.010309278350515464</x:v>
      </x:c>
      <x:c r="K373" s="44" t="n">
        <x:v>1065.4</x:v>
      </x:c>
      <x:c r="L373" s="42" t="n">
        <x:v>0.34569175896376947</x:v>
      </x:c>
      <x:c r="M373" s="44" t="n">
        <x:v>-697.1000000000001</x:v>
      </x:c>
      <x:c r="N373" s="41" t="n">
        <x:v>-1.892750475156123</x:v>
      </x:c>
    </x:row>
    <x:row r="374" ht="15" hidden="0" customHeight="1">
      <x:c r="A374" s="43" t="str">
        <x:v>2026-02-23</x:v>
      </x:c>
      <x:c r="B374" s="39" t="str">
        <x:v>LinkedIn Ads</x:v>
      </x:c>
      <x:c r="C374" s="39" t="n">
        <x:v>2731</x:v>
      </x:c>
      <x:c r="D374" s="39" t="n">
        <x:v>119</x:v>
      </x:c>
      <x:c r="E374" s="39" t="n">
        <x:v>1</x:v>
      </x:c>
      <x:c r="F374" s="44" t="n">
        <x:v>1524.77</x:v>
      </x:c>
      <x:c r="G374" s="44" t="n">
        <x:v>274.43</x:v>
      </x:c>
      <x:c r="H374" s="39" t="n">
        <x:v>6</x:v>
      </x:c>
      <x:c r="I374" s="41" t="n">
        <x:v>0.04357378249725375</x:v>
      </x:c>
      <x:c r="J374" s="41" t="n">
        <x:v>0.008403361344537815</x:v>
      </x:c>
      <x:c r="K374" s="44" t="n">
        <x:v>1524.77</x:v>
      </x:c>
      <x:c r="L374" s="42" t="n">
        <x:v>0.17998124307272573</x:v>
      </x:c>
      <x:c r="M374" s="44" t="n">
        <x:v>-1250.34</x:v>
      </x:c>
      <x:c r="N374" s="41" t="n">
        <x:v>-4.556134533396494</x:v>
      </x:c>
    </x:row>
    <x:row r="375" ht="15" hidden="0" customHeight="1">
      <x:c r="A375" s="43" t="str">
        <x:v>2026-02-23</x:v>
      </x:c>
      <x:c r="B375" s="39" t="str">
        <x:v>Outbound Sales</x:v>
      </x:c>
      <x:c r="C375" s="39" t="n">
        <x:v>2499</x:v>
      </x:c>
      <x:c r="D375" s="39" t="n">
        <x:v>184</x:v>
      </x:c>
      <x:c r="E375" s="39" t="n">
        <x:v>1</x:v>
      </x:c>
      <x:c r="F375" s="44" t="n">
        <x:v>1561.45</x:v>
      </x:c>
      <x:c r="G375" s="44" t="n">
        <x:v>875.98</x:v>
      </x:c>
      <x:c r="H375" s="39" t="n">
        <x:v>6</x:v>
      </x:c>
      <x:c r="I375" s="41" t="n">
        <x:v>0.07362945178071229</x:v>
      </x:c>
      <x:c r="J375" s="41" t="n">
        <x:v>0.005434782608695652</x:v>
      </x:c>
      <x:c r="K375" s="44" t="n">
        <x:v>1561.45</x:v>
      </x:c>
      <x:c r="L375" s="42" t="n">
        <x:v>0.5610041948189183</x:v>
      </x:c>
      <x:c r="M375" s="44" t="n">
        <x:v>-685.47</x:v>
      </x:c>
      <x:c r="N375" s="41" t="n">
        <x:v>-0.7825178657046965</x:v>
      </x:c>
    </x:row>
    <x:row r="376" ht="15" hidden="0" customHeight="1">
      <x:c r="A376" s="43" t="str">
        <x:v>2026-02-23</x:v>
      </x:c>
      <x:c r="B376" s="39" t="str">
        <x:v>Paid Search</x:v>
      </x:c>
      <x:c r="C376" s="39" t="n">
        <x:v>3903</x:v>
      </x:c>
      <x:c r="D376" s="39" t="n">
        <x:v>299</x:v>
      </x:c>
      <x:c r="E376" s="39" t="n">
        <x:v>4</x:v>
      </x:c>
      <x:c r="F376" s="44" t="n">
        <x:v>2610.79</x:v>
      </x:c>
      <x:c r="G376" s="44" t="n">
        <x:v>2390.68</x:v>
      </x:c>
      <x:c r="H376" s="39" t="n">
        <x:v>6</x:v>
      </x:c>
      <x:c r="I376" s="41" t="n">
        <x:v>0.07660773763771458</x:v>
      </x:c>
      <x:c r="J376" s="41" t="n">
        <x:v>0.013377926421404682</x:v>
      </x:c>
      <x:c r="K376" s="44" t="n">
        <x:v>652.6975</x:v>
      </x:c>
      <x:c r="L376" s="42" t="n">
        <x:v>0.9156921851240428</x:v>
      </x:c>
      <x:c r="M376" s="44" t="n">
        <x:v>-220.11000000000013</x:v>
      </x:c>
      <x:c r="N376" s="41" t="n">
        <x:v>-0.09207003865009125</x:v>
      </x:c>
    </x:row>
    <x:row r="377" ht="15" hidden="0" customHeight="1">
      <x:c r="A377" s="43" t="str">
        <x:v>2026-02-23</x:v>
      </x:c>
      <x:c r="B377" s="39" t="str">
        <x:v>Partnerships</x:v>
      </x:c>
      <x:c r="C377" s="39" t="n">
        <x:v>2446</x:v>
      </x:c>
      <x:c r="D377" s="39" t="n">
        <x:v>148</x:v>
      </x:c>
      <x:c r="E377" s="39" t="n">
        <x:v>2</x:v>
      </x:c>
      <x:c r="F377" s="44" t="n">
        <x:v>1163.4099999999999</x:v>
      </x:c>
      <x:c r="G377" s="44" t="n">
        <x:v>960.27</x:v>
      </x:c>
      <x:c r="H377" s="39" t="n">
        <x:v>6</x:v>
      </x:c>
      <x:c r="I377" s="41" t="n">
        <x:v>0.06050695012264922</x:v>
      </x:c>
      <x:c r="J377" s="41" t="n">
        <x:v>0.013513513513513514</x:v>
      </x:c>
      <x:c r="K377" s="44" t="n">
        <x:v>581.7049999999999</x:v>
      </x:c>
      <x:c r="L377" s="42" t="n">
        <x:v>0.825392595903422</x:v>
      </x:c>
      <x:c r="M377" s="44" t="n">
        <x:v>-203.13999999999987</x:v>
      </x:c>
      <x:c r="N377" s="41" t="n">
        <x:v>-0.21154466972830546</x:v>
      </x:c>
    </x:row>
    <x:row r="378" ht="15" hidden="0" customHeight="1">
      <x:c r="A378" s="43" t="str">
        <x:v>2026-02-23</x:v>
      </x:c>
      <x:c r="B378" s="39" t="str">
        <x:v>Referral</x:v>
      </x:c>
      <x:c r="C378" s="39" t="n">
        <x:v>3436</x:v>
      </x:c>
      <x:c r="D378" s="39" t="n">
        <x:v>292</x:v>
      </x:c>
      <x:c r="E378" s="39" t="n">
        <x:v>6</x:v>
      </x:c>
      <x:c r="F378" s="44" t="n">
        <x:v>528.6</x:v>
      </x:c>
      <x:c r="G378" s="44" t="n">
        <x:v>2634.28</x:v>
      </x:c>
      <x:c r="H378" s="39" t="n">
        <x:v>6</x:v>
      </x:c>
      <x:c r="I378" s="41" t="n">
        <x:v>0.08498253783469151</x:v>
      </x:c>
      <x:c r="J378" s="41" t="n">
        <x:v>0.02054794520547945</x:v>
      </x:c>
      <x:c r="K378" s="44" t="n">
        <x:v>88.10000000000001</x:v>
      </x:c>
      <x:c r="L378" s="42" t="n">
        <x:v>4.983503594400303</x:v>
      </x:c>
      <x:c r="M378" s="44" t="n">
        <x:v>2105.6800000000003</x:v>
      </x:c>
      <x:c r="N378" s="41" t="n">
        <x:v>0.7993379595183504</x:v>
      </x:c>
    </x:row>
    <x:row r="379" ht="15" hidden="0" customHeight="1">
      <x:c r="A379" s="43" t="str">
        <x:v>2026-02-23</x:v>
      </x:c>
      <x:c r="B379" s="39" t="str">
        <x:v>SEO</x:v>
      </x:c>
      <x:c r="C379" s="39" t="n">
        <x:v>1747</x:v>
      </x:c>
      <x:c r="D379" s="39" t="n">
        <x:v>98</x:v>
      </x:c>
      <x:c r="E379" s="39" t="n">
        <x:v>2</x:v>
      </x:c>
      <x:c r="F379" s="44" t="n">
        <x:v>1338.59</x:v>
      </x:c>
      <x:c r="G379" s="44" t="n">
        <x:v>1004.23</x:v>
      </x:c>
      <x:c r="H379" s="39" t="n">
        <x:v>6</x:v>
      </x:c>
      <x:c r="I379" s="41" t="n">
        <x:v>0.05609616485403549</x:v>
      </x:c>
      <x:c r="J379" s="41" t="n">
        <x:v>0.02040816326530612</x:v>
      </x:c>
      <x:c r="K379" s="44" t="n">
        <x:v>669.295</x:v>
      </x:c>
      <x:c r="L379" s="42" t="n">
        <x:v>0.7502147782368015</x:v>
      </x:c>
      <x:c r="M379" s="44" t="n">
        <x:v>-334.3599999999999</x:v>
      </x:c>
      <x:c r="N379" s="41" t="n">
        <x:v>-0.33295161466994605</x:v>
      </x:c>
    </x:row>
    <x:row r="380" ht="15" hidden="0" customHeight="1">
      <x:c r="A380" s="43" t="str">
        <x:v>2026-02-24</x:v>
      </x:c>
      <x:c r="B380" s="39" t="str">
        <x:v>Content</x:v>
      </x:c>
      <x:c r="C380" s="39" t="n">
        <x:v>2479</x:v>
      </x:c>
      <x:c r="D380" s="39" t="n">
        <x:v>101</x:v>
      </x:c>
      <x:c r="E380" s="39" t="n">
        <x:v>1</x:v>
      </x:c>
      <x:c r="F380" s="44" t="n">
        <x:v>1146.99</x:v>
      </x:c>
      <x:c r="G380" s="44" t="n">
        <x:v>288.74</x:v>
      </x:c>
      <x:c r="H380" s="39" t="n">
        <x:v>6</x:v>
      </x:c>
      <x:c r="I380" s="41" t="n">
        <x:v>0.040742234772085516</x:v>
      </x:c>
      <x:c r="J380" s="41" t="n">
        <x:v>0.009900990099009901</x:v>
      </x:c>
      <x:c r="K380" s="44" t="n">
        <x:v>1146.99</x:v>
      </x:c>
      <x:c r="L380" s="42" t="n">
        <x:v>0.251737155511382</x:v>
      </x:c>
      <x:c r="M380" s="44" t="n">
        <x:v>-858.25</x:v>
      </x:c>
      <x:c r="N380" s="41" t="n">
        <x:v>-2.9723973124610374</x:v>
      </x:c>
    </x:row>
    <x:row r="381" ht="15" hidden="0" customHeight="1">
      <x:c r="A381" s="43" t="str">
        <x:v>2026-02-24</x:v>
      </x:c>
      <x:c r="B381" s="39" t="str">
        <x:v>LinkedIn Ads</x:v>
      </x:c>
      <x:c r="C381" s="39" t="n">
        <x:v>2025</x:v>
      </x:c>
      <x:c r="D381" s="39" t="n">
        <x:v>106</x:v>
      </x:c>
      <x:c r="E381" s="39" t="n">
        <x:v>2</x:v>
      </x:c>
      <x:c r="F381" s="44" t="n">
        <x:v>1836.27</x:v>
      </x:c>
      <x:c r="G381" s="44" t="n">
        <x:v>933.3800000000001</x:v>
      </x:c>
      <x:c r="H381" s="39" t="n">
        <x:v>6</x:v>
      </x:c>
      <x:c r="I381" s="41" t="n">
        <x:v>0.05234567901234568</x:v>
      </x:c>
      <x:c r="J381" s="41" t="n">
        <x:v>0.018867924528301886</x:v>
      </x:c>
      <x:c r="K381" s="44" t="n">
        <x:v>918.135</x:v>
      </x:c>
      <x:c r="L381" s="42" t="n">
        <x:v>0.5083021560010239</x:v>
      </x:c>
      <x:c r="M381" s="44" t="n">
        <x:v>-902.8899999999999</x:v>
      </x:c>
      <x:c r="N381" s="41" t="n">
        <x:v>-0.9673337761683342</x:v>
      </x:c>
    </x:row>
    <x:row r="382" ht="15" hidden="0" customHeight="1">
      <x:c r="A382" s="43" t="str">
        <x:v>2026-02-24</x:v>
      </x:c>
      <x:c r="B382" s="39" t="str">
        <x:v>Outbound Sales</x:v>
      </x:c>
      <x:c r="C382" s="39" t="n">
        <x:v>3137</x:v>
      </x:c>
      <x:c r="D382" s="39" t="n">
        <x:v>187</x:v>
      </x:c>
      <x:c r="E382" s="39" t="n">
        <x:v>1</x:v>
      </x:c>
      <x:c r="F382" s="44" t="n">
        <x:v>1307.65</x:v>
      </x:c>
      <x:c r="G382" s="44" t="n">
        <x:v>758.35</x:v>
      </x:c>
      <x:c r="H382" s="39" t="n">
        <x:v>6</x:v>
      </x:c>
      <x:c r="I382" s="41" t="n">
        <x:v>0.05961109340133886</x:v>
      </x:c>
      <x:c r="J382" s="41" t="n">
        <x:v>0.0053475935828877</x:v>
      </x:c>
      <x:c r="K382" s="44" t="n">
        <x:v>1307.65</x:v>
      </x:c>
      <x:c r="L382" s="42" t="n">
        <x:v>0.5799334684357434</x:v>
      </x:c>
      <x:c r="M382" s="44" t="n">
        <x:v>-549.3000000000001</x:v>
      </x:c>
      <x:c r="N382" s="41" t="n">
        <x:v>-0.7243357288850795</x:v>
      </x:c>
    </x:row>
    <x:row r="383" ht="15" hidden="0" customHeight="1">
      <x:c r="A383" s="43" t="str">
        <x:v>2026-02-24</x:v>
      </x:c>
      <x:c r="B383" s="39" t="str">
        <x:v>Paid Search</x:v>
      </x:c>
      <x:c r="C383" s="39" t="n">
        <x:v>2504</x:v>
      </x:c>
      <x:c r="D383" s="39" t="n">
        <x:v>170</x:v>
      </x:c>
      <x:c r="E383" s="39" t="n">
        <x:v>3</x:v>
      </x:c>
      <x:c r="F383" s="44" t="n">
        <x:v>3178.95</x:v>
      </x:c>
      <x:c r="G383" s="44" t="n">
        <x:v>1263.74</x:v>
      </x:c>
      <x:c r="H383" s="39" t="n">
        <x:v>6</x:v>
      </x:c>
      <x:c r="I383" s="41" t="n">
        <x:v>0.06789137380191693</x:v>
      </x:c>
      <x:c r="J383" s="41" t="n">
        <x:v>0.01764705882352941</x:v>
      </x:c>
      <x:c r="K383" s="44" t="n">
        <x:v>1059.6499999999999</x:v>
      </x:c>
      <x:c r="L383" s="42" t="n">
        <x:v>0.39753377687601255</x:v>
      </x:c>
      <x:c r="M383" s="44" t="n">
        <x:v>-1915.2099999999998</x:v>
      </x:c>
      <x:c r="N383" s="41" t="n">
        <x:v>-1.51550951936316</x:v>
      </x:c>
    </x:row>
    <x:row r="384" ht="15" hidden="0" customHeight="1">
      <x:c r="A384" s="43" t="str">
        <x:v>2026-02-24</x:v>
      </x:c>
      <x:c r="B384" s="39" t="str">
        <x:v>Partnerships</x:v>
      </x:c>
      <x:c r="C384" s="39" t="n">
        <x:v>2782</x:v>
      </x:c>
      <x:c r="D384" s="39" t="n">
        <x:v>161</x:v>
      </x:c>
      <x:c r="E384" s="39" t="n">
        <x:v>1</x:v>
      </x:c>
      <x:c r="F384" s="44" t="n">
        <x:v>1162.2</x:v>
      </x:c>
      <x:c r="G384" s="44" t="n">
        <x:v>253.82</x:v>
      </x:c>
      <x:c r="H384" s="39" t="n">
        <x:v>6</x:v>
      </x:c>
      <x:c r="I384" s="41" t="n">
        <x:v>0.05787203450754853</x:v>
      </x:c>
      <x:c r="J384" s="41" t="n">
        <x:v>0.006211180124223602</x:v>
      </x:c>
      <x:c r="K384" s="44" t="n">
        <x:v>1162.2</x:v>
      </x:c>
      <x:c r="L384" s="42" t="n">
        <x:v>0.2183961452417828</x:v>
      </x:c>
      <x:c r="M384" s="44" t="n">
        <x:v>-908.3800000000001</x:v>
      </x:c>
      <x:c r="N384" s="41" t="n">
        <x:v>-3.5788353951619265</x:v>
      </x:c>
    </x:row>
    <x:row r="385" ht="15" hidden="0" customHeight="1">
      <x:c r="A385" s="43" t="str">
        <x:v>2026-02-24</x:v>
      </x:c>
      <x:c r="B385" s="39" t="str">
        <x:v>Referral</x:v>
      </x:c>
      <x:c r="C385" s="39" t="n">
        <x:v>3338</x:v>
      </x:c>
      <x:c r="D385" s="39" t="n">
        <x:v>209</x:v>
      </x:c>
      <x:c r="E385" s="39" t="n">
        <x:v>7</x:v>
      </x:c>
      <x:c r="F385" s="44" t="n">
        <x:v>428.82</x:v>
      </x:c>
      <x:c r="G385" s="44" t="n">
        <x:v>3948.5099999999998</x:v>
      </x:c>
      <x:c r="H385" s="39" t="n">
        <x:v>6</x:v>
      </x:c>
      <x:c r="I385" s="41" t="n">
        <x:v>0.06261234272019173</x:v>
      </x:c>
      <x:c r="J385" s="41" t="n">
        <x:v>0.03349282296650718</x:v>
      </x:c>
      <x:c r="K385" s="44" t="n">
        <x:v>61.26</x:v>
      </x:c>
      <x:c r="L385" s="42" t="n">
        <x:v>9.207849447320553</x:v>
      </x:c>
      <x:c r="M385" s="44" t="n">
        <x:v>3519.6899999999996</x:v>
      </x:c>
      <x:c r="N385" s="41" t="n">
        <x:v>0.8913970079852906</x:v>
      </x:c>
    </x:row>
    <x:row r="386" ht="15" hidden="0" customHeight="1">
      <x:c r="A386" s="43" t="str">
        <x:v>2026-02-24</x:v>
      </x:c>
      <x:c r="B386" s="39" t="str">
        <x:v>SEO</x:v>
      </x:c>
      <x:c r="C386" s="39" t="n">
        <x:v>2460</x:v>
      </x:c>
      <x:c r="D386" s="39" t="n">
        <x:v>147</x:v>
      </x:c>
      <x:c r="E386" s="39" t="n">
        <x:v>2</x:v>
      </x:c>
      <x:c r="F386" s="44" t="n">
        <x:v>1312.99</x:v>
      </x:c>
      <x:c r="G386" s="44" t="n">
        <x:v>626.03</x:v>
      </x:c>
      <x:c r="H386" s="39" t="n">
        <x:v>6</x:v>
      </x:c>
      <x:c r="I386" s="41" t="n">
        <x:v>0.05975609756097561</x:v>
      </x:c>
      <x:c r="J386" s="41" t="n">
        <x:v>0.013605442176870748</x:v>
      </x:c>
      <x:c r="K386" s="44" t="n">
        <x:v>656.495</x:v>
      </x:c>
      <x:c r="L386" s="42" t="n">
        <x:v>0.4767972337946214</x:v>
      </x:c>
      <x:c r="M386" s="44" t="n">
        <x:v>-686.96</x:v>
      </x:c>
      <x:c r="N386" s="41" t="n">
        <x:v>-1.0973276041084294</x:v>
      </x:c>
    </x:row>
    <x:row r="387" ht="15" hidden="0" customHeight="1">
      <x:c r="A387" s="43" t="str">
        <x:v>2026-02-25</x:v>
      </x:c>
      <x:c r="B387" s="39" t="str">
        <x:v>Content</x:v>
      </x:c>
      <x:c r="C387" s="39" t="n">
        <x:v>2016</x:v>
      </x:c>
      <x:c r="D387" s="39" t="n">
        <x:v>121</x:v>
      </x:c>
      <x:c r="E387" s="39" t="n">
        <x:v>1</x:v>
      </x:c>
      <x:c r="F387" s="44" t="n">
        <x:v>1253.8500000000001</x:v>
      </x:c>
      <x:c r="G387" s="44" t="n">
        <x:v>534.71</x:v>
      </x:c>
      <x:c r="H387" s="39" t="n">
        <x:v>6</x:v>
      </x:c>
      <x:c r="I387" s="41" t="n">
        <x:v>0.06001984126984127</x:v>
      </x:c>
      <x:c r="J387" s="41" t="n">
        <x:v>0.008264462809917356</x:v>
      </x:c>
      <x:c r="K387" s="44" t="n">
        <x:v>1253.8500000000001</x:v>
      </x:c>
      <x:c r="L387" s="42" t="n">
        <x:v>0.42645452007815926</x:v>
      </x:c>
      <x:c r="M387" s="44" t="n">
        <x:v>-719.1400000000001</x:v>
      </x:c>
      <x:c r="N387" s="41" t="n">
        <x:v>-1.3449159357408689</x:v>
      </x:c>
    </x:row>
    <x:row r="388" ht="15" hidden="0" customHeight="1">
      <x:c r="A388" s="43" t="str">
        <x:v>2026-02-25</x:v>
      </x:c>
      <x:c r="B388" s="39" t="str">
        <x:v>LinkedIn Ads</x:v>
      </x:c>
      <x:c r="C388" s="39" t="n">
        <x:v>3126</x:v>
      </x:c>
      <x:c r="D388" s="39" t="n">
        <x:v>224</x:v>
      </x:c>
      <x:c r="E388" s="39" t="n">
        <x:v>2</x:v>
      </x:c>
      <x:c r="F388" s="44" t="n">
        <x:v>2076.93</x:v>
      </x:c>
      <x:c r="G388" s="44" t="n">
        <x:v>855.8399999999999</x:v>
      </x:c>
      <x:c r="H388" s="39" t="n">
        <x:v>6</x:v>
      </x:c>
      <x:c r="I388" s="41" t="n">
        <x:v>0.07165706973768395</x:v>
      </x:c>
      <x:c r="J388" s="41" t="n">
        <x:v>0.008928571428571428</x:v>
      </x:c>
      <x:c r="K388" s="44" t="n">
        <x:v>1038.465</x:v>
      </x:c>
      <x:c r="L388" s="42" t="n">
        <x:v>0.4120697375453193</x:v>
      </x:c>
      <x:c r="M388" s="44" t="n">
        <x:v>-1221.09</x:v>
      </x:c>
      <x:c r="N388" s="41" t="n">
        <x:v>-1.4267736960179473</x:v>
      </x:c>
    </x:row>
    <x:row r="389" ht="15" hidden="0" customHeight="1">
      <x:c r="A389" s="43" t="str">
        <x:v>2026-02-25</x:v>
      </x:c>
      <x:c r="B389" s="39" t="str">
        <x:v>Outbound Sales</x:v>
      </x:c>
      <x:c r="C389" s="39" t="n">
        <x:v>3718</x:v>
      </x:c>
      <x:c r="D389" s="39" t="n">
        <x:v>200</x:v>
      </x:c>
      <x:c r="E389" s="39" t="n">
        <x:v>3</x:v>
      </x:c>
      <x:c r="F389" s="44" t="n">
        <x:v>1683.45</x:v>
      </x:c>
      <x:c r="G389" s="44" t="n">
        <x:v>1936.18</x:v>
      </x:c>
      <x:c r="H389" s="39" t="n">
        <x:v>6</x:v>
      </x:c>
      <x:c r="I389" s="41" t="n">
        <x:v>0.05379236148466918</x:v>
      </x:c>
      <x:c r="J389" s="41" t="n">
        <x:v>0.015</x:v>
      </x:c>
      <x:c r="K389" s="44" t="n">
        <x:v>561.15</x:v>
      </x:c>
      <x:c r="L389" s="42" t="n">
        <x:v>1.1501262288752265</x:v>
      </x:c>
      <x:c r="M389" s="44" t="n">
        <x:v>252.73000000000002</x:v>
      </x:c>
      <x:c r="N389" s="41" t="n">
        <x:v>0.13053021929779257</x:v>
      </x:c>
    </x:row>
    <x:row r="390" ht="15" hidden="0" customHeight="1">
      <x:c r="A390" s="43" t="str">
        <x:v>2026-02-25</x:v>
      </x:c>
      <x:c r="B390" s="39" t="str">
        <x:v>Paid Search</x:v>
      </x:c>
      <x:c r="C390" s="39" t="n">
        <x:v>2620</x:v>
      </x:c>
      <x:c r="D390" s="39" t="n">
        <x:v>188</x:v>
      </x:c>
      <x:c r="E390" s="39" t="n">
        <x:v>3</x:v>
      </x:c>
      <x:c r="F390" s="44" t="n">
        <x:v>3701.99</x:v>
      </x:c>
      <x:c r="G390" s="44" t="n">
        <x:v>1586.1799999999998</x:v>
      </x:c>
      <x:c r="H390" s="39" t="n">
        <x:v>6</x:v>
      </x:c>
      <x:c r="I390" s="41" t="n">
        <x:v>0.0717557251908397</x:v>
      </x:c>
      <x:c r="J390" s="41" t="n">
        <x:v>0.015957446808510637</x:v>
      </x:c>
      <x:c r="K390" s="44" t="n">
        <x:v>1233.9966666666667</x:v>
      </x:c>
      <x:c r="L390" s="42" t="n">
        <x:v>0.42846685161224096</x:v>
      </x:c>
      <x:c r="M390" s="44" t="n">
        <x:v>-2115.81</x:v>
      </x:c>
      <x:c r="N390" s="41" t="n">
        <x:v>-1.3339028357437366</x:v>
      </x:c>
    </x:row>
    <x:row r="391" ht="15" hidden="0" customHeight="1">
      <x:c r="A391" s="43" t="str">
        <x:v>2026-02-25</x:v>
      </x:c>
      <x:c r="B391" s="39" t="str">
        <x:v>Partnerships</x:v>
      </x:c>
      <x:c r="C391" s="39" t="n">
        <x:v>2244</x:v>
      </x:c>
      <x:c r="D391" s="39" t="n">
        <x:v>128</x:v>
      </x:c>
      <x:c r="E391" s="39" t="n">
        <x:v>2</x:v>
      </x:c>
      <x:c r="F391" s="44" t="n">
        <x:v>1373.98</x:v>
      </x:c>
      <x:c r="G391" s="44" t="n">
        <x:v>1563.7199999999998</x:v>
      </x:c>
      <x:c r="H391" s="39" t="n">
        <x:v>6</x:v>
      </x:c>
      <x:c r="I391" s="41" t="n">
        <x:v>0.0570409982174688</x:v>
      </x:c>
      <x:c r="J391" s="41" t="n">
        <x:v>0.015625</x:v>
      </x:c>
      <x:c r="K391" s="44" t="n">
        <x:v>686.99</x:v>
      </x:c>
      <x:c r="L391" s="42" t="n">
        <x:v>1.1380951687797491</x:v>
      </x:c>
      <x:c r="M391" s="44" t="n">
        <x:v>189.73999999999978</x:v>
      </x:c>
      <x:c r="N391" s="41" t="n">
        <x:v>0.12133885861919001</x:v>
      </x:c>
    </x:row>
    <x:row r="392" ht="15" hidden="0" customHeight="1">
      <x:c r="A392" s="43" t="str">
        <x:v>2026-02-25</x:v>
      </x:c>
      <x:c r="B392" s="39" t="str">
        <x:v>Referral</x:v>
      </x:c>
      <x:c r="C392" s="39" t="n">
        <x:v>2422</x:v>
      </x:c>
      <x:c r="D392" s="39" t="n">
        <x:v>134</x:v>
      </x:c>
      <x:c r="E392" s="39" t="n">
        <x:v>4</x:v>
      </x:c>
      <x:c r="F392" s="44" t="n">
        <x:v>467.39000000000004</x:v>
      </x:c>
      <x:c r="G392" s="44" t="n">
        <x:v>1983.77</x:v>
      </x:c>
      <x:c r="H392" s="39" t="n">
        <x:v>6</x:v>
      </x:c>
      <x:c r="I392" s="41" t="n">
        <x:v>0.05532617671345995</x:v>
      </x:c>
      <x:c r="J392" s="41" t="n">
        <x:v>0.029850746268656716</x:v>
      </x:c>
      <x:c r="K392" s="44" t="n">
        <x:v>116.84750000000001</x:v>
      </x:c>
      <x:c r="L392" s="42" t="n">
        <x:v>4.2443569609961695</x:v>
      </x:c>
      <x:c r="M392" s="44" t="n">
        <x:v>1516.3799999999999</x:v>
      </x:c>
      <x:c r="N392" s="41" t="n">
        <x:v>0.7643930495974836</x:v>
      </x:c>
    </x:row>
    <x:row r="393" ht="15" hidden="0" customHeight="1">
      <x:c r="A393" s="43" t="str">
        <x:v>2026-02-25</x:v>
      </x:c>
      <x:c r="B393" s="39" t="str">
        <x:v>SEO</x:v>
      </x:c>
      <x:c r="C393" s="39" t="n">
        <x:v>2140</x:v>
      </x:c>
      <x:c r="D393" s="39" t="n">
        <x:v>148</x:v>
      </x:c>
      <x:c r="E393" s="39" t="n">
        <x:v>3</x:v>
      </x:c>
      <x:c r="F393" s="44" t="n">
        <x:v>1528.74</x:v>
      </x:c>
      <x:c r="G393" s="44" t="n">
        <x:v>1439.57</x:v>
      </x:c>
      <x:c r="H393" s="39" t="n">
        <x:v>6</x:v>
      </x:c>
      <x:c r="I393" s="41" t="n">
        <x:v>0.0691588785046729</x:v>
      </x:c>
      <x:c r="J393" s="41" t="n">
        <x:v>0.02027027027027027</x:v>
      </x:c>
      <x:c r="K393" s="44" t="n">
        <x:v>509.58</x:v>
      </x:c>
      <x:c r="L393" s="42" t="n">
        <x:v>0.9416709185342177</x:v>
      </x:c>
      <x:c r="M393" s="44" t="n">
        <x:v>-89.17000000000007</x:v>
      </x:c>
      <x:c r="N393" s="41" t="n">
        <x:v>-0.061942107712719824</x:v>
      </x:c>
    </x:row>
    <x:row r="394" ht="15" hidden="0" customHeight="1">
      <x:c r="A394" s="43" t="str">
        <x:v>2026-02-26</x:v>
      </x:c>
      <x:c r="B394" s="39" t="str">
        <x:v>Content</x:v>
      </x:c>
      <x:c r="C394" s="39" t="n">
        <x:v>2097</x:v>
      </x:c>
      <x:c r="D394" s="39" t="n">
        <x:v>121</x:v>
      </x:c>
      <x:c r="E394" s="39" t="n">
        <x:v>2</x:v>
      </x:c>
      <x:c r="F394" s="44" t="n">
        <x:v>1227.85</x:v>
      </x:c>
      <x:c r="G394" s="44" t="n">
        <x:v>706.74</x:v>
      </x:c>
      <x:c r="H394" s="39" t="n">
        <x:v>6</x:v>
      </x:c>
      <x:c r="I394" s="41" t="n">
        <x:v>0.05770147830233667</x:v>
      </x:c>
      <x:c r="J394" s="41" t="n">
        <x:v>0.01652892561983471</x:v>
      </x:c>
      <x:c r="K394" s="44" t="n">
        <x:v>613.925</x:v>
      </x:c>
      <x:c r="L394" s="42" t="n">
        <x:v>0.5755914810441015</x:v>
      </x:c>
      <x:c r="M394" s="44" t="n">
        <x:v>-521.1099999999999</x:v>
      </x:c>
      <x:c r="N394" s="41" t="n">
        <x:v>-0.7373432945637716</x:v>
      </x:c>
    </x:row>
    <x:row r="395" ht="15" hidden="0" customHeight="1">
      <x:c r="A395" s="43" t="str">
        <x:v>2026-02-26</x:v>
      </x:c>
      <x:c r="B395" s="39" t="str">
        <x:v>LinkedIn Ads</x:v>
      </x:c>
      <x:c r="C395" s="39" t="n">
        <x:v>2477</x:v>
      </x:c>
      <x:c r="D395" s="39" t="n">
        <x:v>155</x:v>
      </x:c>
      <x:c r="E395" s="39" t="n">
        <x:v>1</x:v>
      </x:c>
      <x:c r="F395" s="44" t="n">
        <x:v>1472</x:v>
      </x:c>
      <x:c r="G395" s="44" t="n">
        <x:v>341.63</x:v>
      </x:c>
      <x:c r="H395" s="39" t="n">
        <x:v>6</x:v>
      </x:c>
      <x:c r="I395" s="41" t="n">
        <x:v>0.06257569640694388</x:v>
      </x:c>
      <x:c r="J395" s="41" t="n">
        <x:v>0.0064516129032258064</x:v>
      </x:c>
      <x:c r="K395" s="44" t="n">
        <x:v>1472</x:v>
      </x:c>
      <x:c r="L395" s="42" t="n">
        <x:v>0.23208559782608695</x:v>
      </x:c>
      <x:c r="M395" s="44" t="n">
        <x:v>-1130.37</x:v>
      </x:c>
      <x:c r="N395" s="41" t="n">
        <x:v>-3.3087550859116583</x:v>
      </x:c>
    </x:row>
    <x:row r="396" ht="15" hidden="0" customHeight="1">
      <x:c r="A396" s="43" t="str">
        <x:v>2026-02-26</x:v>
      </x:c>
      <x:c r="B396" s="39" t="str">
        <x:v>Outbound Sales</x:v>
      </x:c>
      <x:c r="C396" s="39" t="n">
        <x:v>3877</x:v>
      </x:c>
      <x:c r="D396" s="39" t="n">
        <x:v>207</x:v>
      </x:c>
      <x:c r="E396" s="39" t="n">
        <x:v>2</x:v>
      </x:c>
      <x:c r="F396" s="44" t="n">
        <x:v>1878.6399999999999</x:v>
      </x:c>
      <x:c r="G396" s="44" t="n">
        <x:v>1064.9099999999999</x:v>
      </x:c>
      <x:c r="H396" s="39" t="n">
        <x:v>6</x:v>
      </x:c>
      <x:c r="I396" s="41" t="n">
        <x:v>0.05339179778179005</x:v>
      </x:c>
      <x:c r="J396" s="41" t="n">
        <x:v>0.00966183574879227</x:v>
      </x:c>
      <x:c r="K396" s="44" t="n">
        <x:v>939.3199999999999</x:v>
      </x:c>
      <x:c r="L396" s="42" t="n">
        <x:v>0.5668515521866883</x:v>
      </x:c>
      <x:c r="M396" s="44" t="n">
        <x:v>-813.73</x:v>
      </x:c>
      <x:c r="N396" s="41" t="n">
        <x:v>-0.7641303020912567</x:v>
      </x:c>
    </x:row>
    <x:row r="397" ht="15" hidden="0" customHeight="1">
      <x:c r="A397" s="43" t="str">
        <x:v>2026-02-26</x:v>
      </x:c>
      <x:c r="B397" s="39" t="str">
        <x:v>Paid Search</x:v>
      </x:c>
      <x:c r="C397" s="39" t="n">
        <x:v>2967</x:v>
      </x:c>
      <x:c r="D397" s="39" t="n">
        <x:v>145</x:v>
      </x:c>
      <x:c r="E397" s="39" t="n">
        <x:v>3</x:v>
      </x:c>
      <x:c r="F397" s="44" t="n">
        <x:v>2295.24</x:v>
      </x:c>
      <x:c r="G397" s="44" t="n">
        <x:v>1239.34</x:v>
      </x:c>
      <x:c r="H397" s="39" t="n">
        <x:v>6</x:v>
      </x:c>
      <x:c r="I397" s="41" t="n">
        <x:v>0.04887091338051904</x:v>
      </x:c>
      <x:c r="J397" s="41" t="n">
        <x:v>0.020689655172413793</x:v>
      </x:c>
      <x:c r="K397" s="44" t="n">
        <x:v>765.0799999999999</x:v>
      </x:c>
      <x:c r="L397" s="42" t="n">
        <x:v>0.5399609626879978</x:v>
      </x:c>
      <x:c r="M397" s="44" t="n">
        <x:v>-1055.8999999999999</x:v>
      </x:c>
      <x:c r="N397" s="41" t="n">
        <x:v>-0.8519857343424726</x:v>
      </x:c>
    </x:row>
    <x:row r="398" ht="15" hidden="0" customHeight="1">
      <x:c r="A398" s="43" t="str">
        <x:v>2026-02-26</x:v>
      </x:c>
      <x:c r="B398" s="39" t="str">
        <x:v>Partnerships</x:v>
      </x:c>
      <x:c r="C398" s="39" t="n">
        <x:v>2594</x:v>
      </x:c>
      <x:c r="D398" s="39" t="n">
        <x:v>148</x:v>
      </x:c>
      <x:c r="E398" s="39" t="n">
        <x:v>1</x:v>
      </x:c>
      <x:c r="F398" s="44" t="n">
        <x:v>1325.95</x:v>
      </x:c>
      <x:c r="G398" s="44" t="n">
        <x:v>760.92</x:v>
      </x:c>
      <x:c r="H398" s="39" t="n">
        <x:v>6</x:v>
      </x:c>
      <x:c r="I398" s="41" t="n">
        <x:v>0.05705474171164225</x:v>
      </x:c>
      <x:c r="J398" s="41" t="n">
        <x:v>0.006756756756756757</x:v>
      </x:c>
      <x:c r="K398" s="44" t="n">
        <x:v>1325.95</x:v>
      </x:c>
      <x:c r="L398" s="42" t="n">
        <x:v>0.5738677929032014</x:v>
      </x:c>
      <x:c r="M398" s="44" t="n">
        <x:v>-565.0300000000001</x:v>
      </x:c>
      <x:c r="N398" s="41" t="n">
        <x:v>-0.7425616359144196</x:v>
      </x:c>
    </x:row>
    <x:row r="399" ht="15" hidden="0" customHeight="1">
      <x:c r="A399" s="43" t="str">
        <x:v>2026-02-26</x:v>
      </x:c>
      <x:c r="B399" s="39" t="str">
        <x:v>Referral</x:v>
      </x:c>
      <x:c r="C399" s="39" t="n">
        <x:v>2678</x:v>
      </x:c>
      <x:c r="D399" s="39" t="n">
        <x:v>235</x:v>
      </x:c>
      <x:c r="E399" s="39" t="n">
        <x:v>6</x:v>
      </x:c>
      <x:c r="F399" s="44" t="n">
        <x:v>807.71</x:v>
      </x:c>
      <x:c r="G399" s="44" t="n">
        <x:v>2989.7</x:v>
      </x:c>
      <x:c r="H399" s="39" t="n">
        <x:v>6</x:v>
      </x:c>
      <x:c r="I399" s="41" t="n">
        <x:v>0.08775205377147124</x:v>
      </x:c>
      <x:c r="J399" s="41" t="n">
        <x:v>0.02553191489361702</x:v>
      </x:c>
      <x:c r="K399" s="44" t="n">
        <x:v>134.61833333333334</x:v>
      </x:c>
      <x:c r="L399" s="42" t="n">
        <x:v>3.7014522539030095</x:v>
      </x:c>
      <x:c r="M399" s="44" t="n">
        <x:v>2181.99</x:v>
      </x:c>
      <x:c r="N399" s="41" t="n">
        <x:v>0.7298357694751981</x:v>
      </x:c>
    </x:row>
    <x:row r="400" ht="15" hidden="0" customHeight="1">
      <x:c r="A400" s="43" t="str">
        <x:v>2026-02-26</x:v>
      </x:c>
      <x:c r="B400" s="39" t="str">
        <x:v>SEO</x:v>
      </x:c>
      <x:c r="C400" s="39" t="n">
        <x:v>2174</x:v>
      </x:c>
      <x:c r="D400" s="39" t="n">
        <x:v>157</x:v>
      </x:c>
      <x:c r="E400" s="39" t="n">
        <x:v>4</x:v>
      </x:c>
      <x:c r="F400" s="44" t="n">
        <x:v>1465.32</x:v>
      </x:c>
      <x:c r="G400" s="44" t="n">
        <x:v>2039.94</x:v>
      </x:c>
      <x:c r="H400" s="39" t="n">
        <x:v>6</x:v>
      </x:c>
      <x:c r="I400" s="41" t="n">
        <x:v>0.07221711131554738</x:v>
      </x:c>
      <x:c r="J400" s="41" t="n">
        <x:v>0.025477707006369428</x:v>
      </x:c>
      <x:c r="K400" s="44" t="n">
        <x:v>366.33</x:v>
      </x:c>
      <x:c r="L400" s="42" t="n">
        <x:v>1.3921464253541889</x:v>
      </x:c>
      <x:c r="M400" s="44" t="n">
        <x:v>574.6200000000001</x:v>
      </x:c>
      <x:c r="N400" s="41" t="n">
        <x:v>0.2816847554339834</x:v>
      </x:c>
    </x:row>
    <x:row r="401" ht="15" hidden="0" customHeight="1">
      <x:c r="A401" s="43" t="str">
        <x:v>2026-02-27</x:v>
      </x:c>
      <x:c r="B401" s="39" t="str">
        <x:v>Content</x:v>
      </x:c>
      <x:c r="C401" s="39" t="n">
        <x:v>1728</x:v>
      </x:c>
      <x:c r="D401" s="39" t="n">
        <x:v>107</x:v>
      </x:c>
      <x:c r="E401" s="39" t="n">
        <x:v>3</x:v>
      </x:c>
      <x:c r="F401" s="44" t="n">
        <x:v>1462.32</x:v>
      </x:c>
      <x:c r="G401" s="44" t="n">
        <x:v>1158.58</x:v>
      </x:c>
      <x:c r="H401" s="39" t="n">
        <x:v>6</x:v>
      </x:c>
      <x:c r="I401" s="41" t="n">
        <x:v>0.061921296296296294</x:v>
      </x:c>
      <x:c r="J401" s="41" t="n">
        <x:v>0.028037383177570093</x:v>
      </x:c>
      <x:c r="K401" s="44" t="n">
        <x:v>487.44</x:v>
      </x:c>
      <x:c r="L401" s="42" t="n">
        <x:v>0.792288965479512</x:v>
      </x:c>
      <x:c r="M401" s="44" t="n">
        <x:v>-303.74</x:v>
      </x:c>
      <x:c r="N401" s="41" t="n">
        <x:v>-0.2621657546306686</x:v>
      </x:c>
    </x:row>
    <x:row r="402" ht="15" hidden="0" customHeight="1">
      <x:c r="A402" s="43" t="str">
        <x:v>2026-02-27</x:v>
      </x:c>
      <x:c r="B402" s="39" t="str">
        <x:v>LinkedIn Ads</x:v>
      </x:c>
      <x:c r="C402" s="39" t="n">
        <x:v>3107</x:v>
      </x:c>
      <x:c r="D402" s="39" t="n">
        <x:v>208</x:v>
      </x:c>
      <x:c r="E402" s="39" t="n">
        <x:v>3</x:v>
      </x:c>
      <x:c r="F402" s="44" t="n">
        <x:v>2005.56</x:v>
      </x:c>
      <x:c r="G402" s="44" t="n">
        <x:v>1248.99</x:v>
      </x:c>
      <x:c r="H402" s="39" t="n">
        <x:v>6</x:v>
      </x:c>
      <x:c r="I402" s="41" t="n">
        <x:v>0.06694560669456066</x:v>
      </x:c>
      <x:c r="J402" s="41" t="n">
        <x:v>0.014423076923076924</x:v>
      </x:c>
      <x:c r="K402" s="44" t="n">
        <x:v>668.52</x:v>
      </x:c>
      <x:c r="L402" s="42" t="n">
        <x:v>0.6227637168671094</x:v>
      </x:c>
      <x:c r="M402" s="44" t="n">
        <x:v>-756.5699999999999</x:v>
      </x:c>
      <x:c r="N402" s="41" t="n">
        <x:v>-0.6057454423173924</x:v>
      </x:c>
    </x:row>
    <x:row r="403" ht="15" hidden="0" customHeight="1">
      <x:c r="A403" s="43" t="str">
        <x:v>2026-02-27</x:v>
      </x:c>
      <x:c r="B403" s="39" t="str">
        <x:v>Outbound Sales</x:v>
      </x:c>
      <x:c r="C403" s="39" t="n">
        <x:v>3264</x:v>
      </x:c>
      <x:c r="D403" s="39" t="n">
        <x:v>166</x:v>
      </x:c>
      <x:c r="E403" s="39" t="n">
        <x:v>1</x:v>
      </x:c>
      <x:c r="F403" s="44" t="n">
        <x:v>2021.07</x:v>
      </x:c>
      <x:c r="G403" s="44" t="n">
        <x:v>887.65</x:v>
      </x:c>
      <x:c r="H403" s="39" t="n">
        <x:v>6</x:v>
      </x:c>
      <x:c r="I403" s="41" t="n">
        <x:v>0.0508578431372549</x:v>
      </x:c>
      <x:c r="J403" s="41" t="n">
        <x:v>0.006024096385542169</x:v>
      </x:c>
      <x:c r="K403" s="44" t="n">
        <x:v>2021.07</x:v>
      </x:c>
      <x:c r="L403" s="42" t="n">
        <x:v>0.43919804855843686</x:v>
      </x:c>
      <x:c r="M403" s="44" t="n">
        <x:v>-1133.42</x:v>
      </x:c>
      <x:c r="N403" s="41" t="n">
        <x:v>-1.276877147524362</x:v>
      </x:c>
    </x:row>
    <x:row r="404" ht="15" hidden="0" customHeight="1">
      <x:c r="A404" s="43" t="str">
        <x:v>2026-02-27</x:v>
      </x:c>
      <x:c r="B404" s="39" t="str">
        <x:v>Paid Search</x:v>
      </x:c>
      <x:c r="C404" s="39" t="n">
        <x:v>3477</x:v>
      </x:c>
      <x:c r="D404" s="39" t="n">
        <x:v>313</x:v>
      </x:c>
      <x:c r="E404" s="39" t="n">
        <x:v>4</x:v>
      </x:c>
      <x:c r="F404" s="44" t="n">
        <x:v>3338.24</x:v>
      </x:c>
      <x:c r="G404" s="44" t="n">
        <x:v>2072.04</x:v>
      </x:c>
      <x:c r="H404" s="39" t="n">
        <x:v>6</x:v>
      </x:c>
      <x:c r="I404" s="41" t="n">
        <x:v>0.09002013229795801</x:v>
      </x:c>
      <x:c r="J404" s="41" t="n">
        <x:v>0.012779552715654952</x:v>
      </x:c>
      <x:c r="K404" s="44" t="n">
        <x:v>834.56</x:v>
      </x:c>
      <x:c r="L404" s="42" t="n">
        <x:v>0.6206983320552147</x:v>
      </x:c>
      <x:c r="M404" s="44" t="n">
        <x:v>-1266.1999999999998</x:v>
      </x:c>
      <x:c r="N404" s="41" t="n">
        <x:v>-0.6110885890233778</x:v>
      </x:c>
    </x:row>
    <x:row r="405" ht="15" hidden="0" customHeight="1">
      <x:c r="A405" s="43" t="str">
        <x:v>2026-02-27</x:v>
      </x:c>
      <x:c r="B405" s="39" t="str">
        <x:v>Partnerships</x:v>
      </x:c>
      <x:c r="C405" s="39" t="n">
        <x:v>3133</x:v>
      </x:c>
      <x:c r="D405" s="39" t="n">
        <x:v>231</x:v>
      </x:c>
      <x:c r="E405" s="39" t="n">
        <x:v>3</x:v>
      </x:c>
      <x:c r="F405" s="44" t="n">
        <x:v>1541.3999999999999</x:v>
      </x:c>
      <x:c r="G405" s="44" t="n">
        <x:v>1421.01</x:v>
      </x:c>
      <x:c r="H405" s="39" t="n">
        <x:v>6</x:v>
      </x:c>
      <x:c r="I405" s="41" t="n">
        <x:v>0.07373124800510693</x:v>
      </x:c>
      <x:c r="J405" s="41" t="n">
        <x:v>0.012987012987012988</x:v>
      </x:c>
      <x:c r="K405" s="44" t="n">
        <x:v>513.8</x:v>
      </x:c>
      <x:c r="L405" s="42" t="n">
        <x:v>0.9218956792526276</x:v>
      </x:c>
      <x:c r="M405" s="44" t="n">
        <x:v>-120.38999999999987</x:v>
      </x:c>
      <x:c r="N405" s="41" t="n">
        <x:v>-0.08472143053180475</x:v>
      </x:c>
    </x:row>
    <x:row r="406" ht="15" hidden="0" customHeight="1">
      <x:c r="A406" s="43" t="str">
        <x:v>2026-02-27</x:v>
      </x:c>
      <x:c r="B406" s="39" t="str">
        <x:v>Referral</x:v>
      </x:c>
      <x:c r="C406" s="39" t="n">
        <x:v>2694</x:v>
      </x:c>
      <x:c r="D406" s="39" t="n">
        <x:v>216</x:v>
      </x:c>
      <x:c r="E406" s="39" t="n">
        <x:v>5</x:v>
      </x:c>
      <x:c r="F406" s="44" t="n">
        <x:v>789.4300000000001</x:v>
      </x:c>
      <x:c r="G406" s="44" t="n">
        <x:v>3041.84</x:v>
      </x:c>
      <x:c r="H406" s="39" t="n">
        <x:v>6</x:v>
      </x:c>
      <x:c r="I406" s="41" t="n">
        <x:v>0.0801781737193764</x:v>
      </x:c>
      <x:c r="J406" s="41" t="n">
        <x:v>0.023148148148148147</x:v>
      </x:c>
      <x:c r="K406" s="44" t="n">
        <x:v>157.88600000000002</x:v>
      </x:c>
      <x:c r="L406" s="42" t="n">
        <x:v>3.8532105443167852</x:v>
      </x:c>
      <x:c r="M406" s="44" t="n">
        <x:v>2252.41</x:v>
      </x:c>
      <x:c r="N406" s="41" t="n">
        <x:v>0.74047615916682</x:v>
      </x:c>
    </x:row>
    <x:row r="407" ht="15" hidden="0" customHeight="1">
      <x:c r="A407" s="43" t="str">
        <x:v>2026-02-27</x:v>
      </x:c>
      <x:c r="B407" s="39" t="str">
        <x:v>SEO</x:v>
      </x:c>
      <x:c r="C407" s="39" t="n">
        <x:v>1991</x:v>
      </x:c>
      <x:c r="D407" s="39" t="n">
        <x:v>159</x:v>
      </x:c>
      <x:c r="E407" s="39" t="n">
        <x:v>3</x:v>
      </x:c>
      <x:c r="F407" s="44" t="n">
        <x:v>1721.27</x:v>
      </x:c>
      <x:c r="G407" s="44" t="n">
        <x:v>1000.48</x:v>
      </x:c>
      <x:c r="H407" s="39" t="n">
        <x:v>6</x:v>
      </x:c>
      <x:c r="I407" s="41" t="n">
        <x:v>0.07985936715218483</x:v>
      </x:c>
      <x:c r="J407" s="41" t="n">
        <x:v>0.018867924528301886</x:v>
      </x:c>
      <x:c r="K407" s="44" t="n">
        <x:v>573.7566666666667</x:v>
      </x:c>
      <x:c r="L407" s="42" t="n">
        <x:v>0.5812452433377681</x:v>
      </x:c>
      <x:c r="M407" s="44" t="n">
        <x:v>-720.79</x:v>
      </x:c>
      <x:c r="N407" s="41" t="n">
        <x:v>-0.7204441867903406</x:v>
      </x:c>
    </x:row>
    <x:row r="408" ht="15" hidden="0" customHeight="1">
      <x:c r="A408" s="43" t="str">
        <x:v>2026-02-28</x:v>
      </x:c>
      <x:c r="B408" s="39" t="str">
        <x:v>Content</x:v>
      </x:c>
      <x:c r="C408" s="39" t="n">
        <x:v>2035</x:v>
      </x:c>
      <x:c r="D408" s="39" t="n">
        <x:v>157</x:v>
      </x:c>
      <x:c r="E408" s="39" t="n">
        <x:v>2</x:v>
      </x:c>
      <x:c r="F408" s="44" t="n">
        <x:v>1123.22</x:v>
      </x:c>
      <x:c r="G408" s="44" t="n">
        <x:v>793.86</x:v>
      </x:c>
      <x:c r="H408" s="39" t="n">
        <x:v>6</x:v>
      </x:c>
      <x:c r="I408" s="41" t="n">
        <x:v>0.07714987714987714</x:v>
      </x:c>
      <x:c r="J408" s="41" t="n">
        <x:v>0.012738853503184714</x:v>
      </x:c>
      <x:c r="K408" s="44" t="n">
        <x:v>561.61</x:v>
      </x:c>
      <x:c r="L408" s="42" t="n">
        <x:v>0.706771603069746</x:v>
      </x:c>
      <x:c r="M408" s="44" t="n">
        <x:v>-329.36</x:v>
      </x:c>
      <x:c r="N408" s="41" t="n">
        <x:v>-0.4148842365152546</x:v>
      </x:c>
    </x:row>
    <x:row r="409" ht="15" hidden="0" customHeight="1">
      <x:c r="A409" s="43" t="str">
        <x:v>2026-02-28</x:v>
      </x:c>
      <x:c r="B409" s="39" t="str">
        <x:v>LinkedIn Ads</x:v>
      </x:c>
      <x:c r="C409" s="39" t="n">
        <x:v>1733</x:v>
      </x:c>
      <x:c r="D409" s="39" t="n">
        <x:v>85</x:v>
      </x:c>
      <x:c r="E409" s="39" t="n">
        <x:v>0</x:v>
      </x:c>
      <x:c r="F409" s="44" t="n">
        <x:v>1507.74</x:v>
      </x:c>
      <x:c r="G409" s="44" t="n">
        <x:v>0</x:v>
      </x:c>
      <x:c r="H409" s="39" t="n">
        <x:v>6</x:v>
      </x:c>
      <x:c r="I409" s="41" t="n">
        <x:v>0.04904789382573572</x:v>
      </x:c>
      <x:c r="J409" s="41" t="n">
        <x:v>0</x:v>
      </x:c>
      <x:c r="K409" s="44"/>
      <x:c r="L409" s="42" t="n">
        <x:v>0</x:v>
      </x:c>
      <x:c r="M409" s="44" t="n">
        <x:v>-1507.74</x:v>
      </x:c>
      <x:c r="N409" s="41"/>
    </x:row>
    <x:row r="410" ht="15" hidden="0" customHeight="1">
      <x:c r="A410" s="43" t="str">
        <x:v>2026-02-28</x:v>
      </x:c>
      <x:c r="B410" s="39" t="str">
        <x:v>Outbound Sales</x:v>
      </x:c>
      <x:c r="C410" s="39" t="n">
        <x:v>2854</x:v>
      </x:c>
      <x:c r="D410" s="39" t="n">
        <x:v>114</x:v>
      </x:c>
      <x:c r="E410" s="39" t="n">
        <x:v>1</x:v>
      </x:c>
      <x:c r="F410" s="44" t="n">
        <x:v>1205.37</x:v>
      </x:c>
      <x:c r="G410" s="44" t="n">
        <x:v>873.71</x:v>
      </x:c>
      <x:c r="H410" s="39" t="n">
        <x:v>6</x:v>
      </x:c>
      <x:c r="I410" s="41" t="n">
        <x:v>0.039943938332165384</x:v>
      </x:c>
      <x:c r="J410" s="41" t="n">
        <x:v>0.008771929824561403</x:v>
      </x:c>
      <x:c r="K410" s="44" t="n">
        <x:v>1205.37</x:v>
      </x:c>
      <x:c r="L410" s="42" t="n">
        <x:v>0.7248479719920026</x:v>
      </x:c>
      <x:c r="M410" s="44" t="n">
        <x:v>-331.65999999999985</x:v>
      </x:c>
      <x:c r="N410" s="41" t="n">
        <x:v>-0.3795996383239288</x:v>
      </x:c>
    </x:row>
    <x:row r="411" ht="15" hidden="0" customHeight="1">
      <x:c r="A411" s="43" t="str">
        <x:v>2026-02-28</x:v>
      </x:c>
      <x:c r="B411" s="39" t="str">
        <x:v>Paid Search</x:v>
      </x:c>
      <x:c r="C411" s="39" t="n">
        <x:v>2598</x:v>
      </x:c>
      <x:c r="D411" s="39" t="n">
        <x:v>115</x:v>
      </x:c>
      <x:c r="E411" s="39" t="n">
        <x:v>1</x:v>
      </x:c>
      <x:c r="F411" s="44" t="n">
        <x:v>2433.24</x:v>
      </x:c>
      <x:c r="G411" s="44" t="n">
        <x:v>527.88</x:v>
      </x:c>
      <x:c r="H411" s="39" t="n">
        <x:v>6</x:v>
      </x:c>
      <x:c r="I411" s="41" t="n">
        <x:v>0.04426481909160893</x:v>
      </x:c>
      <x:c r="J411" s="41" t="n">
        <x:v>0.008695652173913044</x:v>
      </x:c>
      <x:c r="K411" s="44" t="n">
        <x:v>2433.24</x:v>
      </x:c>
      <x:c r="L411" s="42" t="n">
        <x:v>0.21694530749124627</x:v>
      </x:c>
      <x:c r="M411" s="44" t="n">
        <x:v>-1905.3599999999997</x:v>
      </x:c>
      <x:c r="N411" s="41" t="n">
        <x:v>-3.6094566947033413</x:v>
      </x:c>
    </x:row>
    <x:row r="412" ht="15" hidden="0" customHeight="1">
      <x:c r="A412" s="43" t="str">
        <x:v>2026-02-28</x:v>
      </x:c>
      <x:c r="B412" s="39" t="str">
        <x:v>Partnerships</x:v>
      </x:c>
      <x:c r="C412" s="39" t="n">
        <x:v>2288</x:v>
      </x:c>
      <x:c r="D412" s="39" t="n">
        <x:v>47</x:v>
      </x:c>
      <x:c r="E412" s="39" t="n">
        <x:v>0</x:v>
      </x:c>
      <x:c r="F412" s="44" t="n">
        <x:v>1030.49</x:v>
      </x:c>
      <x:c r="G412" s="44" t="n">
        <x:v>0</x:v>
      </x:c>
      <x:c r="H412" s="39" t="n">
        <x:v>6</x:v>
      </x:c>
      <x:c r="I412" s="41" t="n">
        <x:v>0.02054195804195804</x:v>
      </x:c>
      <x:c r="J412" s="41" t="n">
        <x:v>0</x:v>
      </x:c>
      <x:c r="K412" s="44"/>
      <x:c r="L412" s="42" t="n">
        <x:v>0</x:v>
      </x:c>
      <x:c r="M412" s="44" t="n">
        <x:v>-1030.49</x:v>
      </x:c>
      <x:c r="N412" s="41"/>
    </x:row>
    <x:row r="413" ht="15" hidden="0" customHeight="1">
      <x:c r="A413" s="43" t="str">
        <x:v>2026-02-28</x:v>
      </x:c>
      <x:c r="B413" s="39" t="str">
        <x:v>Referral</x:v>
      </x:c>
      <x:c r="C413" s="39" t="n">
        <x:v>4239</x:v>
      </x:c>
      <x:c r="D413" s="39" t="n">
        <x:v>325</x:v>
      </x:c>
      <x:c r="E413" s="39" t="n">
        <x:v>10</x:v>
      </x:c>
      <x:c r="F413" s="44" t="n">
        <x:v>612.66</x:v>
      </x:c>
      <x:c r="G413" s="44" t="n">
        <x:v>4903.67</x:v>
      </x:c>
      <x:c r="H413" s="39" t="n">
        <x:v>6</x:v>
      </x:c>
      <x:c r="I413" s="41" t="n">
        <x:v>0.0766690257136117</x:v>
      </x:c>
      <x:c r="J413" s="41" t="n">
        <x:v>0.03076923076923077</x:v>
      </x:c>
      <x:c r="K413" s="44" t="n">
        <x:v>61.266</x:v>
      </x:c>
      <x:c r="L413" s="42" t="n">
        <x:v>8.003901021773904</x:v>
      </x:c>
      <x:c r="M413" s="44" t="n">
        <x:v>4291.01</x:v>
      </x:c>
      <x:c r="N413" s="41" t="n">
        <x:v>0.8750609237571044</x:v>
      </x:c>
    </x:row>
    <x:row r="414" ht="15" hidden="0" customHeight="1">
      <x:c r="A414" s="43" t="str">
        <x:v>2026-02-28</x:v>
      </x:c>
      <x:c r="B414" s="39" t="str">
        <x:v>SEO</x:v>
      </x:c>
      <x:c r="C414" s="39" t="n">
        <x:v>2168</x:v>
      </x:c>
      <x:c r="D414" s="39" t="n">
        <x:v>87</x:v>
      </x:c>
      <x:c r="E414" s="39" t="n">
        <x:v>1</x:v>
      </x:c>
      <x:c r="F414" s="44" t="n">
        <x:v>1298.79</x:v>
      </x:c>
      <x:c r="G414" s="44" t="n">
        <x:v>541</x:v>
      </x:c>
      <x:c r="H414" s="39" t="n">
        <x:v>6</x:v>
      </x:c>
      <x:c r="I414" s="41" t="n">
        <x:v>0.04012915129151291</x:v>
      </x:c>
      <x:c r="J414" s="41" t="n">
        <x:v>0.011494252873563218</x:v>
      </x:c>
      <x:c r="K414" s="44" t="n">
        <x:v>1298.79</x:v>
      </x:c>
      <x:c r="L414" s="42" t="n">
        <x:v>0.4165415502121205</x:v>
      </x:c>
      <x:c r="M414" s="44" t="n">
        <x:v>-757.79</x:v>
      </x:c>
      <x:c r="N414" s="41" t="n">
        <x:v>-1.400720887245841</x:v>
      </x:c>
    </x:row>
    <x:row r="415" ht="15" hidden="0" customHeight="1">
      <x:c r="A415" s="43" t="str">
        <x:v>2026-03-01</x:v>
      </x:c>
      <x:c r="B415" s="39" t="str">
        <x:v>Content</x:v>
      </x:c>
      <x:c r="C415" s="39" t="n">
        <x:v>1991</x:v>
      </x:c>
      <x:c r="D415" s="39" t="n">
        <x:v>97</x:v>
      </x:c>
      <x:c r="E415" s="39" t="n">
        <x:v>2</x:v>
      </x:c>
      <x:c r="F415" s="44" t="n">
        <x:v>1059.03</x:v>
      </x:c>
      <x:c r="G415" s="44" t="n">
        <x:v>642.6300000000001</x:v>
      </x:c>
      <x:c r="H415" s="39" t="n">
        <x:v>6</x:v>
      </x:c>
      <x:c r="I415" s="41" t="n">
        <x:v>0.048719236564540434</x:v>
      </x:c>
      <x:c r="J415" s="41" t="n">
        <x:v>0.020618556701030927</x:v>
      </x:c>
      <x:c r="K415" s="44" t="n">
        <x:v>529.515</x:v>
      </x:c>
      <x:c r="L415" s="42" t="n">
        <x:v>0.6068100053822839</x:v>
      </x:c>
      <x:c r="M415" s="44" t="n">
        <x:v>-416.39999999999986</x:v>
      </x:c>
      <x:c r="N415" s="41" t="n">
        <x:v>-0.6479622800056016</x:v>
      </x:c>
    </x:row>
    <x:row r="416" ht="15" hidden="0" customHeight="1">
      <x:c r="A416" s="43" t="str">
        <x:v>2026-03-01</x:v>
      </x:c>
      <x:c r="B416" s="39" t="str">
        <x:v>LinkedIn Ads</x:v>
      </x:c>
      <x:c r="C416" s="39" t="n">
        <x:v>2309</x:v>
      </x:c>
      <x:c r="D416" s="39" t="n">
        <x:v>146</x:v>
      </x:c>
      <x:c r="E416" s="39" t="n">
        <x:v>1</x:v>
      </x:c>
      <x:c r="F416" s="44" t="n">
        <x:v>1385.55</x:v>
      </x:c>
      <x:c r="G416" s="44" t="n">
        <x:v>299.91</x:v>
      </x:c>
      <x:c r="H416" s="39" t="n">
        <x:v>6</x:v>
      </x:c>
      <x:c r="I416" s="41" t="n">
        <x:v>0.06323083585967952</x:v>
      </x:c>
      <x:c r="J416" s="41" t="n">
        <x:v>0.00684931506849315</x:v>
      </x:c>
      <x:c r="K416" s="44" t="n">
        <x:v>1385.55</x:v>
      </x:c>
      <x:c r="L416" s="42" t="n">
        <x:v>0.21645555916423084</x:v>
      </x:c>
      <x:c r="M416" s="44" t="n">
        <x:v>-1085.6399999999999</x:v>
      </x:c>
      <x:c r="N416" s="41" t="n">
        <x:v>-3.619885965789736</x:v>
      </x:c>
    </x:row>
    <x:row r="417" ht="15" hidden="0" customHeight="1">
      <x:c r="A417" s="43" t="str">
        <x:v>2026-03-01</x:v>
      </x:c>
      <x:c r="B417" s="39" t="str">
        <x:v>Outbound Sales</x:v>
      </x:c>
      <x:c r="C417" s="39" t="n">
        <x:v>2440</x:v>
      </x:c>
      <x:c r="D417" s="39" t="n">
        <x:v>110</x:v>
      </x:c>
      <x:c r="E417" s="39" t="n">
        <x:v>1</x:v>
      </x:c>
      <x:c r="F417" s="44" t="n">
        <x:v>1278.54</x:v>
      </x:c>
      <x:c r="G417" s="44" t="n">
        <x:v>782.22</x:v>
      </x:c>
      <x:c r="H417" s="39" t="n">
        <x:v>6</x:v>
      </x:c>
      <x:c r="I417" s="41" t="n">
        <x:v>0.045081967213114756</x:v>
      </x:c>
      <x:c r="J417" s="41" t="n">
        <x:v>0.00909090909090909</x:v>
      </x:c>
      <x:c r="K417" s="44" t="n">
        <x:v>1278.54</x:v>
      </x:c>
      <x:c r="L417" s="42" t="n">
        <x:v>0.6118072176075837</x:v>
      </x:c>
      <x:c r="M417" s="44" t="n">
        <x:v>-496.31999999999994</x:v>
      </x:c>
      <x:c r="N417" s="41" t="n">
        <x:v>-0.634501802561939</x:v>
      </x:c>
    </x:row>
    <x:row r="418" ht="15" hidden="0" customHeight="1">
      <x:c r="A418" s="43" t="str">
        <x:v>2026-03-01</x:v>
      </x:c>
      <x:c r="B418" s="39" t="str">
        <x:v>Paid Search</x:v>
      </x:c>
      <x:c r="C418" s="39" t="n">
        <x:v>2528</x:v>
      </x:c>
      <x:c r="D418" s="39" t="n">
        <x:v>219</x:v>
      </x:c>
      <x:c r="E418" s="39" t="n">
        <x:v>3</x:v>
      </x:c>
      <x:c r="F418" s="44" t="n">
        <x:v>2287.37</x:v>
      </x:c>
      <x:c r="G418" s="44" t="n">
        <x:v>1766.29</x:v>
      </x:c>
      <x:c r="H418" s="39" t="n">
        <x:v>6</x:v>
      </x:c>
      <x:c r="I418" s="41" t="n">
        <x:v>0.08662974683544304</x:v>
      </x:c>
      <x:c r="J418" s="41" t="n">
        <x:v>0.0136986301369863</x:v>
      </x:c>
      <x:c r="K418" s="44" t="n">
        <x:v>762.4566666666666</x:v>
      </x:c>
      <x:c r="L418" s="42" t="n">
        <x:v>0.7721925180447413</x:v>
      </x:c>
      <x:c r="M418" s="44" t="n">
        <x:v>-521.0799999999999</x:v>
      </x:c>
      <x:c r="N418" s="41" t="n">
        <x:v>-0.2950138425739827</x:v>
      </x:c>
    </x:row>
    <x:row r="419" ht="15" hidden="0" customHeight="1">
      <x:c r="A419" s="43" t="str">
        <x:v>2026-03-01</x:v>
      </x:c>
      <x:c r="B419" s="39" t="str">
        <x:v>Partnerships</x:v>
      </x:c>
      <x:c r="C419" s="39" t="n">
        <x:v>2341</x:v>
      </x:c>
      <x:c r="D419" s="39" t="n">
        <x:v>106</x:v>
      </x:c>
      <x:c r="E419" s="39" t="n">
        <x:v>2</x:v>
      </x:c>
      <x:c r="F419" s="44" t="n">
        <x:v>1018.3</x:v>
      </x:c>
      <x:c r="G419" s="44" t="n">
        <x:v>1109.1399999999999</x:v>
      </x:c>
      <x:c r="H419" s="39" t="n">
        <x:v>6</x:v>
      </x:c>
      <x:c r="I419" s="41" t="n">
        <x:v>0.04527979495941905</x:v>
      </x:c>
      <x:c r="J419" s="41" t="n">
        <x:v>0.018867924528301886</x:v>
      </x:c>
      <x:c r="K419" s="44" t="n">
        <x:v>509.15</x:v>
      </x:c>
      <x:c r="L419" s="42" t="n">
        <x:v>1.0892075027005794</x:v>
      </x:c>
      <x:c r="M419" s="44" t="n">
        <x:v>90.83999999999992</x:v>
      </x:c>
      <x:c r="N419" s="41" t="n">
        <x:v>0.08190129289359317</x:v>
      </x:c>
    </x:row>
    <x:row r="420" ht="15" hidden="0" customHeight="1">
      <x:c r="A420" s="43" t="str">
        <x:v>2026-03-01</x:v>
      </x:c>
      <x:c r="B420" s="39" t="str">
        <x:v>Referral</x:v>
      </x:c>
      <x:c r="C420" s="39" t="n">
        <x:v>2903</x:v>
      </x:c>
      <x:c r="D420" s="39" t="n">
        <x:v>168</x:v>
      </x:c>
      <x:c r="E420" s="39" t="n">
        <x:v>5</x:v>
      </x:c>
      <x:c r="F420" s="44" t="n">
        <x:v>614.46</x:v>
      </x:c>
      <x:c r="G420" s="44" t="n">
        <x:v>2536.5499999999997</x:v>
      </x:c>
      <x:c r="H420" s="39" t="n">
        <x:v>6</x:v>
      </x:c>
      <x:c r="I420" s="41" t="n">
        <x:v>0.05787116775749225</x:v>
      </x:c>
      <x:c r="J420" s="41" t="n">
        <x:v>0.02976190476190476</x:v>
      </x:c>
      <x:c r="K420" s="44" t="n">
        <x:v>122.89200000000001</x:v>
      </x:c>
      <x:c r="L420" s="42" t="n">
        <x:v>4.12809621456238</x:v>
      </x:c>
      <x:c r="M420" s="44" t="n">
        <x:v>1922.0899999999997</x:v>
      </x:c>
      <x:c r="N420" s="41" t="n">
        <x:v>0.7577575841201631</x:v>
      </x:c>
    </x:row>
    <x:row r="421" ht="15" hidden="0" customHeight="1">
      <x:c r="A421" s="43" t="str">
        <x:v>2026-03-01</x:v>
      </x:c>
      <x:c r="B421" s="39" t="str">
        <x:v>SEO</x:v>
      </x:c>
      <x:c r="C421" s="39" t="n">
        <x:v>1894</x:v>
      </x:c>
      <x:c r="D421" s="39" t="n">
        <x:v>141</x:v>
      </x:c>
      <x:c r="E421" s="39" t="n">
        <x:v>2</x:v>
      </x:c>
      <x:c r="F421" s="44" t="n">
        <x:v>1176.77</x:v>
      </x:c>
      <x:c r="G421" s="44" t="n">
        <x:v>650.05</x:v>
      </x:c>
      <x:c r="H421" s="39" t="n">
        <x:v>6</x:v>
      </x:c>
      <x:c r="I421" s="41" t="n">
        <x:v>0.07444561774023231</x:v>
      </x:c>
      <x:c r="J421" s="41" t="n">
        <x:v>0.014184397163120567</x:v>
      </x:c>
      <x:c r="K421" s="44" t="n">
        <x:v>588.385</x:v>
      </x:c>
      <x:c r="L421" s="42" t="n">
        <x:v>0.55240191371296</x:v>
      </x:c>
      <x:c r="M421" s="44" t="n">
        <x:v>-526.72</x:v>
      </x:c>
      <x:c r="N421" s="41" t="n">
        <x:v>-0.8102761326051843</x:v>
      </x:c>
    </x:row>
    <x:row r="422" ht="15" hidden="0" customHeight="1">
      <x:c r="A422" s="43" t="str">
        <x:v>2026-03-02</x:v>
      </x:c>
      <x:c r="B422" s="39" t="str">
        <x:v>Content</x:v>
      </x:c>
      <x:c r="C422" s="39" t="n">
        <x:v>3092</x:v>
      </x:c>
      <x:c r="D422" s="39" t="n">
        <x:v>144</x:v>
      </x:c>
      <x:c r="E422" s="39" t="n">
        <x:v>1</x:v>
      </x:c>
      <x:c r="F422" s="44" t="n">
        <x:v>914.33</x:v>
      </x:c>
      <x:c r="G422" s="44" t="n">
        <x:v>346.37</x:v>
      </x:c>
      <x:c r="H422" s="39" t="n">
        <x:v>6</x:v>
      </x:c>
      <x:c r="I422" s="41" t="n">
        <x:v>0.04657179818887452</x:v>
      </x:c>
      <x:c r="J422" s="41" t="n">
        <x:v>0.006944444444444444</x:v>
      </x:c>
      <x:c r="K422" s="44" t="n">
        <x:v>914.33</x:v>
      </x:c>
      <x:c r="L422" s="42" t="n">
        <x:v>0.3788238382203362</x:v>
      </x:c>
      <x:c r="M422" s="44" t="n">
        <x:v>-567.96</x:v>
      </x:c>
      <x:c r="N422" s="41" t="n">
        <x:v>-1.6397494009296418</x:v>
      </x:c>
    </x:row>
    <x:row r="423" ht="15" hidden="0" customHeight="1">
      <x:c r="A423" s="43" t="str">
        <x:v>2026-03-02</x:v>
      </x:c>
      <x:c r="B423" s="39" t="str">
        <x:v>LinkedIn Ads</x:v>
      </x:c>
      <x:c r="C423" s="39" t="n">
        <x:v>2732</x:v>
      </x:c>
      <x:c r="D423" s="39" t="n">
        <x:v>87</x:v>
      </x:c>
      <x:c r="E423" s="39" t="n">
        <x:v>1</x:v>
      </x:c>
      <x:c r="F423" s="44" t="n">
        <x:v>1159.26</x:v>
      </x:c>
      <x:c r="G423" s="44" t="n">
        <x:v>333.7</x:v>
      </x:c>
      <x:c r="H423" s="39" t="n">
        <x:v>6</x:v>
      </x:c>
      <x:c r="I423" s="41" t="n">
        <x:v>0.03184480234260615</x:v>
      </x:c>
      <x:c r="J423" s="41" t="n">
        <x:v>0.011494252873563218</x:v>
      </x:c>
      <x:c r="K423" s="44" t="n">
        <x:v>1159.26</x:v>
      </x:c>
      <x:c r="L423" s="42" t="n">
        <x:v>0.2878560460983731</x:v>
      </x:c>
      <x:c r="M423" s="44" t="n">
        <x:v>-825.56</x:v>
      </x:c>
      <x:c r="N423" s="41" t="n">
        <x:v>-2.473958645489961</x:v>
      </x:c>
    </x:row>
    <x:row r="424" ht="15" hidden="0" customHeight="1">
      <x:c r="A424" s="43" t="str">
        <x:v>2026-03-02</x:v>
      </x:c>
      <x:c r="B424" s="39" t="str">
        <x:v>Outbound Sales</x:v>
      </x:c>
      <x:c r="C424" s="39" t="n">
        <x:v>2594</x:v>
      </x:c>
      <x:c r="D424" s="39" t="n">
        <x:v>114</x:v>
      </x:c>
      <x:c r="E424" s="39" t="n">
        <x:v>1</x:v>
      </x:c>
      <x:c r="F424" s="44" t="n">
        <x:v>1568.81</x:v>
      </x:c>
      <x:c r="G424" s="44" t="n">
        <x:v>691.24</x:v>
      </x:c>
      <x:c r="H424" s="39" t="n">
        <x:v>6</x:v>
      </x:c>
      <x:c r="I424" s="41" t="n">
        <x:v>0.04394757131842714</x:v>
      </x:c>
      <x:c r="J424" s="41" t="n">
        <x:v>0.008771929824561403</x:v>
      </x:c>
      <x:c r="K424" s="44" t="n">
        <x:v>1568.81</x:v>
      </x:c>
      <x:c r="L424" s="42" t="n">
        <x:v>0.4406142235197379</x:v>
      </x:c>
      <x:c r="M424" s="44" t="n">
        <x:v>-877.5699999999999</x:v>
      </x:c>
      <x:c r="N424" s="41" t="n">
        <x:v>-1.2695590532955268</x:v>
      </x:c>
    </x:row>
    <x:row r="425" ht="15" hidden="0" customHeight="1">
      <x:c r="A425" s="43" t="str">
        <x:v>2026-03-02</x:v>
      </x:c>
      <x:c r="B425" s="39" t="str">
        <x:v>Paid Search</x:v>
      </x:c>
      <x:c r="C425" s="39" t="n">
        <x:v>2993</x:v>
      </x:c>
      <x:c r="D425" s="39" t="n">
        <x:v>126</x:v>
      </x:c>
      <x:c r="E425" s="39" t="n">
        <x:v>2</x:v>
      </x:c>
      <x:c r="F425" s="44" t="n">
        <x:v>1934.08</x:v>
      </x:c>
      <x:c r="G425" s="44" t="n">
        <x:v>1249.9</x:v>
      </x:c>
      <x:c r="H425" s="39" t="n">
        <x:v>6</x:v>
      </x:c>
      <x:c r="I425" s="41" t="n">
        <x:v>0.0420982292014701</x:v>
      </x:c>
      <x:c r="J425" s="41" t="n">
        <x:v>0.015873015873015872</x:v>
      </x:c>
      <x:c r="K425" s="44" t="n">
        <x:v>967.04</x:v>
      </x:c>
      <x:c r="L425" s="42" t="n">
        <x:v>0.6462504136333554</x:v>
      </x:c>
      <x:c r="M425" s="44" t="n">
        <x:v>-684.1799999999998</x:v>
      </x:c>
      <x:c r="N425" s="41" t="n">
        <x:v>-0.5473877910232817</x:v>
      </x:c>
    </x:row>
    <x:row r="426" ht="15" hidden="0" customHeight="1">
      <x:c r="A426" s="43" t="str">
        <x:v>2026-03-02</x:v>
      </x:c>
      <x:c r="B426" s="39" t="str">
        <x:v>Partnerships</x:v>
      </x:c>
      <x:c r="C426" s="39" t="n">
        <x:v>2141</x:v>
      </x:c>
      <x:c r="D426" s="39" t="n">
        <x:v>184</x:v>
      </x:c>
      <x:c r="E426" s="39" t="n">
        <x:v>2</x:v>
      </x:c>
      <x:c r="F426" s="44" t="n">
        <x:v>1068.23</x:v>
      </x:c>
      <x:c r="G426" s="44" t="n">
        <x:v>1095.05</x:v>
      </x:c>
      <x:c r="H426" s="39" t="n">
        <x:v>6</x:v>
      </x:c>
      <x:c r="I426" s="41" t="n">
        <x:v>0.08594114899579636</x:v>
      </x:c>
      <x:c r="J426" s="41" t="n">
        <x:v>0.010869565217391304</x:v>
      </x:c>
      <x:c r="K426" s="44" t="n">
        <x:v>534.115</x:v>
      </x:c>
      <x:c r="L426" s="42" t="n">
        <x:v>1.0251069526225625</x:v>
      </x:c>
      <x:c r="M426" s="44" t="n">
        <x:v>26.819999999999936</x:v>
      </x:c>
      <x:c r="N426" s="41" t="n">
        <x:v>0.024492032327290934</x:v>
      </x:c>
    </x:row>
    <x:row r="427" ht="15" hidden="0" customHeight="1">
      <x:c r="A427" s="43" t="str">
        <x:v>2026-03-02</x:v>
      </x:c>
      <x:c r="B427" s="39" t="str">
        <x:v>Referral</x:v>
      </x:c>
      <x:c r="C427" s="39" t="n">
        <x:v>2796</x:v>
      </x:c>
      <x:c r="D427" s="39" t="n">
        <x:v>261</x:v>
      </x:c>
      <x:c r="E427" s="39" t="n">
        <x:v>6</x:v>
      </x:c>
      <x:c r="F427" s="44" t="n">
        <x:v>580.9100000000001</x:v>
      </x:c>
      <x:c r="G427" s="44" t="n">
        <x:v>3064.12</x:v>
      </x:c>
      <x:c r="H427" s="39" t="n">
        <x:v>6</x:v>
      </x:c>
      <x:c r="I427" s="41" t="n">
        <x:v>0.09334763948497854</x:v>
      </x:c>
      <x:c r="J427" s="41" t="n">
        <x:v>0.022988505747126436</x:v>
      </x:c>
      <x:c r="K427" s="44" t="n">
        <x:v>96.81833333333334</x:v>
      </x:c>
      <x:c r="L427" s="42" t="n">
        <x:v>5.274689710970717</x:v>
      </x:c>
      <x:c r="M427" s="44" t="n">
        <x:v>2483.21</x:v>
      </x:c>
      <x:c r="N427" s="41" t="n">
        <x:v>0.8104153884312625</x:v>
      </x:c>
    </x:row>
    <x:row r="428" ht="15" hidden="0" customHeight="1">
      <x:c r="A428" s="43" t="str">
        <x:v>2026-03-02</x:v>
      </x:c>
      <x:c r="B428" s="39" t="str">
        <x:v>SEO</x:v>
      </x:c>
      <x:c r="C428" s="39" t="n">
        <x:v>1337</x:v>
      </x:c>
      <x:c r="D428" s="39" t="n">
        <x:v>105</x:v>
      </x:c>
      <x:c r="E428" s="39" t="n">
        <x:v>1</x:v>
      </x:c>
      <x:c r="F428" s="44" t="n">
        <x:v>1056.9</x:v>
      </x:c>
      <x:c r="G428" s="44" t="n">
        <x:v>303.74</x:v>
      </x:c>
      <x:c r="H428" s="39" t="n">
        <x:v>6</x:v>
      </x:c>
      <x:c r="I428" s="41" t="n">
        <x:v>0.07853403141361257</x:v>
      </x:c>
      <x:c r="J428" s="41" t="n">
        <x:v>0.009523809523809525</x:v>
      </x:c>
      <x:c r="K428" s="44" t="n">
        <x:v>1056.9</x:v>
      </x:c>
      <x:c r="L428" s="42" t="n">
        <x:v>0.2873876431072003</x:v>
      </x:c>
      <x:c r="M428" s="44" t="n">
        <x:v>-753.1600000000001</x:v>
      </x:c>
      <x:c r="N428" s="41" t="n">
        <x:v>-2.4796207282544285</x:v>
      </x:c>
    </x:row>
    <x:row r="429" ht="15" hidden="0" customHeight="1">
      <x:c r="A429" s="43" t="str">
        <x:v>2026-03-03</x:v>
      </x:c>
      <x:c r="B429" s="39" t="str">
        <x:v>Content</x:v>
      </x:c>
      <x:c r="C429" s="39" t="n">
        <x:v>2645</x:v>
      </x:c>
      <x:c r="D429" s="39" t="n">
        <x:v>150</x:v>
      </x:c>
      <x:c r="E429" s="39" t="n">
        <x:v>3</x:v>
      </x:c>
      <x:c r="F429" s="44" t="n">
        <x:v>1658.56</x:v>
      </x:c>
      <x:c r="G429" s="44" t="n">
        <x:v>1108.42</x:v>
      </x:c>
      <x:c r="H429" s="39" t="n">
        <x:v>6</x:v>
      </x:c>
      <x:c r="I429" s="41" t="n">
        <x:v>0.05671077504725898</x:v>
      </x:c>
      <x:c r="J429" s="41" t="n">
        <x:v>0.02</x:v>
      </x:c>
      <x:c r="K429" s="44" t="n">
        <x:v>552.8533333333334</x:v>
      </x:c>
      <x:c r="L429" s="42" t="n">
        <x:v>0.6683026239629559</x:v>
      </x:c>
      <x:c r="M429" s="44" t="n">
        <x:v>-550.1399999999999</x:v>
      </x:c>
      <x:c r="N429" s="41" t="n">
        <x:v>-0.49632810667436517</x:v>
      </x:c>
    </x:row>
    <x:row r="430" ht="15" hidden="0" customHeight="1">
      <x:c r="A430" s="43" t="str">
        <x:v>2026-03-03</x:v>
      </x:c>
      <x:c r="B430" s="39" t="str">
        <x:v>LinkedIn Ads</x:v>
      </x:c>
      <x:c r="C430" s="39" t="n">
        <x:v>2513</x:v>
      </x:c>
      <x:c r="D430" s="39" t="n">
        <x:v>141</x:v>
      </x:c>
      <x:c r="E430" s="39" t="n">
        <x:v>2</x:v>
      </x:c>
      <x:c r="F430" s="44" t="n">
        <x:v>2442.33</x:v>
      </x:c>
      <x:c r="G430" s="44" t="n">
        <x:v>857.78</x:v>
      </x:c>
      <x:c r="H430" s="39" t="n">
        <x:v>6</x:v>
      </x:c>
      <x:c r="I430" s="41" t="n">
        <x:v>0.05610823716673299</x:v>
      </x:c>
      <x:c r="J430" s="41" t="n">
        <x:v>0.014184397163120567</x:v>
      </x:c>
      <x:c r="K430" s="44" t="n">
        <x:v>1221.165</x:v>
      </x:c>
      <x:c r="L430" s="42" t="n">
        <x:v>0.35121379993694546</x:v>
      </x:c>
      <x:c r="M430" s="44" t="n">
        <x:v>-1584.55</x:v>
      </x:c>
      <x:c r="N430" s="41" t="n">
        <x:v>-1.8472685303924083</x:v>
      </x:c>
    </x:row>
    <x:row r="431" ht="15" hidden="0" customHeight="1">
      <x:c r="A431" s="43" t="str">
        <x:v>2026-03-03</x:v>
      </x:c>
      <x:c r="B431" s="39" t="str">
        <x:v>Outbound Sales</x:v>
      </x:c>
      <x:c r="C431" s="39" t="n">
        <x:v>3357</x:v>
      </x:c>
      <x:c r="D431" s="39" t="n">
        <x:v>162</x:v>
      </x:c>
      <x:c r="E431" s="39" t="n">
        <x:v>2</x:v>
      </x:c>
      <x:c r="F431" s="44" t="n">
        <x:v>2027.5</x:v>
      </x:c>
      <x:c r="G431" s="44" t="n">
        <x:v>1477.1100000000001</x:v>
      </x:c>
      <x:c r="H431" s="39" t="n">
        <x:v>6</x:v>
      </x:c>
      <x:c r="I431" s="41" t="n">
        <x:v>0.04825737265415549</x:v>
      </x:c>
      <x:c r="J431" s="41" t="n">
        <x:v>0.012345679012345678</x:v>
      </x:c>
      <x:c r="K431" s="44" t="n">
        <x:v>1013.75</x:v>
      </x:c>
      <x:c r="L431" s="42" t="n">
        <x:v>0.728537607891492</x:v>
      </x:c>
      <x:c r="M431" s="44" t="n">
        <x:v>-550.3899999999999</x:v>
      </x:c>
      <x:c r="N431" s="41" t="n">
        <x:v>-0.3726127370338024</x:v>
      </x:c>
    </x:row>
    <x:row r="432" ht="15" hidden="0" customHeight="1">
      <x:c r="A432" s="43" t="str">
        <x:v>2026-03-03</x:v>
      </x:c>
      <x:c r="B432" s="39" t="str">
        <x:v>Paid Search</x:v>
      </x:c>
      <x:c r="C432" s="39" t="n">
        <x:v>3909</x:v>
      </x:c>
      <x:c r="D432" s="39" t="n">
        <x:v>335</x:v>
      </x:c>
      <x:c r="E432" s="39" t="n">
        <x:v>5</x:v>
      </x:c>
      <x:c r="F432" s="44" t="n">
        <x:v>4212.34</x:v>
      </x:c>
      <x:c r="G432" s="44" t="n">
        <x:v>2773.54</x:v>
      </x:c>
      <x:c r="H432" s="39" t="n">
        <x:v>6</x:v>
      </x:c>
      <x:c r="I432" s="41" t="n">
        <x:v>0.08569966743412638</x:v>
      </x:c>
      <x:c r="J432" s="41" t="n">
        <x:v>0.014925373134328358</x:v>
      </x:c>
      <x:c r="K432" s="44" t="n">
        <x:v>842.4680000000001</x:v>
      </x:c>
      <x:c r="L432" s="42" t="n">
        <x:v>0.6584321303598475</x:v>
      </x:c>
      <x:c r="M432" s="44" t="n">
        <x:v>-1438.8000000000002</x:v>
      </x:c>
      <x:c r="N432" s="41" t="n">
        <x:v>-0.5187594193701912</x:v>
      </x:c>
    </x:row>
    <x:row r="433" ht="15" hidden="0" customHeight="1">
      <x:c r="A433" s="43" t="str">
        <x:v>2026-03-03</x:v>
      </x:c>
      <x:c r="B433" s="39" t="str">
        <x:v>Partnerships</x:v>
      </x:c>
      <x:c r="C433" s="39" t="n">
        <x:v>2064</x:v>
      </x:c>
      <x:c r="D433" s="39" t="n">
        <x:v>167</x:v>
      </x:c>
      <x:c r="E433" s="39" t="n">
        <x:v>2</x:v>
      </x:c>
      <x:c r="F433" s="44" t="n">
        <x:v>1650.67</x:v>
      </x:c>
      <x:c r="G433" s="44" t="n">
        <x:v>1141.8</x:v>
      </x:c>
      <x:c r="H433" s="39" t="n">
        <x:v>6</x:v>
      </x:c>
      <x:c r="I433" s="41" t="n">
        <x:v>0.0809108527131783</x:v>
      </x:c>
      <x:c r="J433" s="41" t="n">
        <x:v>0.011976047904191617</x:v>
      </x:c>
      <x:c r="K433" s="44" t="n">
        <x:v>825.335</x:v>
      </x:c>
      <x:c r="L433" s="42" t="n">
        <x:v>0.6917191201148624</x:v>
      </x:c>
      <x:c r="M433" s="44" t="n">
        <x:v>-508.8700000000001</x:v>
      </x:c>
      <x:c r="N433" s="41" t="n">
        <x:v>-0.4456734979856368</x:v>
      </x:c>
    </x:row>
    <x:row r="434" ht="15" hidden="0" customHeight="1">
      <x:c r="A434" s="43" t="str">
        <x:v>2026-03-03</x:v>
      </x:c>
      <x:c r="B434" s="39" t="str">
        <x:v>Referral</x:v>
      </x:c>
      <x:c r="C434" s="39" t="n">
        <x:v>2914</x:v>
      </x:c>
      <x:c r="D434" s="39" t="n">
        <x:v>236</x:v>
      </x:c>
      <x:c r="E434" s="39" t="n">
        <x:v>6</x:v>
      </x:c>
      <x:c r="F434" s="44" t="n">
        <x:v>767.11</x:v>
      </x:c>
      <x:c r="G434" s="44" t="n">
        <x:v>3066.63</x:v>
      </x:c>
      <x:c r="H434" s="39" t="n">
        <x:v>6</x:v>
      </x:c>
      <x:c r="I434" s="41" t="n">
        <x:v>0.08098833218943034</x:v>
      </x:c>
      <x:c r="J434" s="41" t="n">
        <x:v>0.025423728813559324</x:v>
      </x:c>
      <x:c r="K434" s="44" t="n">
        <x:v>127.85166666666667</x:v>
      </x:c>
      <x:c r="L434" s="42" t="n">
        <x:v>3.9976404948442856</x:v>
      </x:c>
      <x:c r="M434" s="44" t="n">
        <x:v>2299.52</x:v>
      </x:c>
      <x:c r="N434" s="41" t="n">
        <x:v>0.749852443887916</x:v>
      </x:c>
    </x:row>
    <x:row r="435" ht="15" hidden="0" customHeight="1">
      <x:c r="A435" s="43" t="str">
        <x:v>2026-03-03</x:v>
      </x:c>
      <x:c r="B435" s="39" t="str">
        <x:v>SEO</x:v>
      </x:c>
      <x:c r="C435" s="39" t="n">
        <x:v>2393</x:v>
      </x:c>
      <x:c r="D435" s="39" t="n">
        <x:v>138</x:v>
      </x:c>
      <x:c r="E435" s="39" t="n">
        <x:v>3</x:v>
      </x:c>
      <x:c r="F435" s="44" t="n">
        <x:v>2035.9099999999999</x:v>
      </x:c>
      <x:c r="G435" s="44" t="n">
        <x:v>1380.35</x:v>
      </x:c>
      <x:c r="H435" s="39" t="n">
        <x:v>6</x:v>
      </x:c>
      <x:c r="I435" s="41" t="n">
        <x:v>0.057668198913497705</x:v>
      </x:c>
      <x:c r="J435" s="41" t="n">
        <x:v>0.021739130434782608</x:v>
      </x:c>
      <x:c r="K435" s="44" t="n">
        <x:v>678.6366666666667</x:v>
      </x:c>
      <x:c r="L435" s="42" t="n">
        <x:v>0.6780014833661606</x:v>
      </x:c>
      <x:c r="M435" s="44" t="n">
        <x:v>-655.56</x:v>
      </x:c>
      <x:c r="N435" s="41" t="n">
        <x:v>-0.4749230267685732</x:v>
      </x:c>
    </x:row>
    <x:row r="436" ht="15" hidden="0" customHeight="1">
      <x:c r="A436" s="43" t="str">
        <x:v>2026-03-04</x:v>
      </x:c>
      <x:c r="B436" s="39" t="str">
        <x:v>Content</x:v>
      </x:c>
      <x:c r="C436" s="39" t="n">
        <x:v>1615</x:v>
      </x:c>
      <x:c r="D436" s="39" t="n">
        <x:v>29</x:v>
      </x:c>
      <x:c r="E436" s="39" t="n">
        <x:v>0</x:v>
      </x:c>
      <x:c r="F436" s="44" t="n">
        <x:v>924.52</x:v>
      </x:c>
      <x:c r="G436" s="44" t="n">
        <x:v>0</x:v>
      </x:c>
      <x:c r="H436" s="39" t="n">
        <x:v>6</x:v>
      </x:c>
      <x:c r="I436" s="41" t="n">
        <x:v>0.017956656346749224</x:v>
      </x:c>
      <x:c r="J436" s="41" t="n">
        <x:v>0</x:v>
      </x:c>
      <x:c r="K436" s="44"/>
      <x:c r="L436" s="42" t="n">
        <x:v>0</x:v>
      </x:c>
      <x:c r="M436" s="44" t="n">
        <x:v>-924.52</x:v>
      </x:c>
      <x:c r="N436" s="41"/>
    </x:row>
    <x:row r="437" ht="15" hidden="0" customHeight="1">
      <x:c r="A437" s="43" t="str">
        <x:v>2026-03-04</x:v>
      </x:c>
      <x:c r="B437" s="39" t="str">
        <x:v>LinkedIn Ads</x:v>
      </x:c>
      <x:c r="C437" s="39" t="n">
        <x:v>2513</x:v>
      </x:c>
      <x:c r="D437" s="39" t="n">
        <x:v>61</x:v>
      </x:c>
      <x:c r="E437" s="39" t="n">
        <x:v>0</x:v>
      </x:c>
      <x:c r="F437" s="44" t="n">
        <x:v>1335.44</x:v>
      </x:c>
      <x:c r="G437" s="44" t="n">
        <x:v>0</x:v>
      </x:c>
      <x:c r="H437" s="39" t="n">
        <x:v>6</x:v>
      </x:c>
      <x:c r="I437" s="41" t="n">
        <x:v>0.024273776362912853</x:v>
      </x:c>
      <x:c r="J437" s="41" t="n">
        <x:v>0</x:v>
      </x:c>
      <x:c r="K437" s="44"/>
      <x:c r="L437" s="42" t="n">
        <x:v>0</x:v>
      </x:c>
      <x:c r="M437" s="44" t="n">
        <x:v>-1335.44</x:v>
      </x:c>
      <x:c r="N437" s="41"/>
    </x:row>
    <x:row r="438" ht="15" hidden="0" customHeight="1">
      <x:c r="A438" s="43" t="str">
        <x:v>2026-03-04</x:v>
      </x:c>
      <x:c r="B438" s="39" t="str">
        <x:v>Outbound Sales</x:v>
      </x:c>
      <x:c r="C438" s="39" t="n">
        <x:v>3554</x:v>
      </x:c>
      <x:c r="D438" s="39" t="n">
        <x:v>184</x:v>
      </x:c>
      <x:c r="E438" s="39" t="n">
        <x:v>1</x:v>
      </x:c>
      <x:c r="F438" s="44" t="n">
        <x:v>1163.3700000000001</x:v>
      </x:c>
      <x:c r="G438" s="44" t="n">
        <x:v>603.41</x:v>
      </x:c>
      <x:c r="H438" s="39" t="n">
        <x:v>6</x:v>
      </x:c>
      <x:c r="I438" s="41" t="n">
        <x:v>0.05177265053460889</x:v>
      </x:c>
      <x:c r="J438" s="41" t="n">
        <x:v>0.005434782608695652</x:v>
      </x:c>
      <x:c r="K438" s="44" t="n">
        <x:v>1163.3700000000001</x:v>
      </x:c>
      <x:c r="L438" s="42" t="n">
        <x:v>0.518674196515296</x:v>
      </x:c>
      <x:c r="M438" s="44" t="n">
        <x:v>-559.9600000000002</x:v>
      </x:c>
      <x:c r="N438" s="41" t="n">
        <x:v>-0.9279925755290768</x:v>
      </x:c>
    </x:row>
    <x:row r="439" ht="15" hidden="0" customHeight="1">
      <x:c r="A439" s="43" t="str">
        <x:v>2026-03-04</x:v>
      </x:c>
      <x:c r="B439" s="39" t="str">
        <x:v>Paid Search</x:v>
      </x:c>
      <x:c r="C439" s="39" t="n">
        <x:v>3063</x:v>
      </x:c>
      <x:c r="D439" s="39" t="n">
        <x:v>209</x:v>
      </x:c>
      <x:c r="E439" s="39" t="n">
        <x:v>3</x:v>
      </x:c>
      <x:c r="F439" s="44" t="n">
        <x:v>2430.66</x:v>
      </x:c>
      <x:c r="G439" s="44" t="n">
        <x:v>1546.33</x:v>
      </x:c>
      <x:c r="H439" s="39" t="n">
        <x:v>6</x:v>
      </x:c>
      <x:c r="I439" s="41" t="n">
        <x:v>0.06823375775383611</x:v>
      </x:c>
      <x:c r="J439" s="41" t="n">
        <x:v>0.014354066985645933</x:v>
      </x:c>
      <x:c r="K439" s="44" t="n">
        <x:v>810.2199999999999</x:v>
      </x:c>
      <x:c r="L439" s="42" t="n">
        <x:v>0.6361770054223955</x:v>
      </x:c>
      <x:c r="M439" s="44" t="n">
        <x:v>-884.3299999999999</x:v>
      </x:c>
      <x:c r="N439" s="41" t="n">
        <x:v>-0.5718895707901935</x:v>
      </x:c>
    </x:row>
    <x:row r="440" ht="15" hidden="0" customHeight="1">
      <x:c r="A440" s="43" t="str">
        <x:v>2026-03-04</x:v>
      </x:c>
      <x:c r="B440" s="39" t="str">
        <x:v>Partnerships</x:v>
      </x:c>
      <x:c r="C440" s="39" t="n">
        <x:v>2384</x:v>
      </x:c>
      <x:c r="D440" s="39" t="n">
        <x:v>101</x:v>
      </x:c>
      <x:c r="E440" s="39" t="n">
        <x:v>0</x:v>
      </x:c>
      <x:c r="F440" s="44" t="n">
        <x:v>894.6800000000001</x:v>
      </x:c>
      <x:c r="G440" s="44" t="n">
        <x:v>0</x:v>
      </x:c>
      <x:c r="H440" s="39" t="n">
        <x:v>6</x:v>
      </x:c>
      <x:c r="I440" s="41" t="n">
        <x:v>0.04236577181208054</x:v>
      </x:c>
      <x:c r="J440" s="41" t="n">
        <x:v>0</x:v>
      </x:c>
      <x:c r="K440" s="44"/>
      <x:c r="L440" s="42" t="n">
        <x:v>0</x:v>
      </x:c>
      <x:c r="M440" s="44" t="n">
        <x:v>-894.6800000000001</x:v>
      </x:c>
      <x:c r="N440" s="41"/>
    </x:row>
    <x:row r="441" ht="15" hidden="0" customHeight="1">
      <x:c r="A441" s="43" t="str">
        <x:v>2026-03-04</x:v>
      </x:c>
      <x:c r="B441" s="39" t="str">
        <x:v>Referral</x:v>
      </x:c>
      <x:c r="C441" s="39" t="n">
        <x:v>3212</x:v>
      </x:c>
      <x:c r="D441" s="39" t="n">
        <x:v>239</x:v>
      </x:c>
      <x:c r="E441" s="39" t="n">
        <x:v>8</x:v>
      </x:c>
      <x:c r="F441" s="44" t="n">
        <x:v>423.16999999999996</x:v>
      </x:c>
      <x:c r="G441" s="44" t="n">
        <x:v>3428.23</x:v>
      </x:c>
      <x:c r="H441" s="39" t="n">
        <x:v>6</x:v>
      </x:c>
      <x:c r="I441" s="41" t="n">
        <x:v>0.07440846824408469</x:v>
      </x:c>
      <x:c r="J441" s="41" t="n">
        <x:v>0.03347280334728033</x:v>
      </x:c>
      <x:c r="K441" s="44" t="n">
        <x:v>52.896249999999995</x:v>
      </x:c>
      <x:c r="L441" s="42" t="n">
        <x:v>8.10130680341234</x:v>
      </x:c>
      <x:c r="M441" s="44" t="n">
        <x:v>3005.06</x:v>
      </x:c>
      <x:c r="N441" s="41" t="n">
        <x:v>0.8765631244111393</x:v>
      </x:c>
    </x:row>
    <x:row r="442" ht="15" hidden="0" customHeight="1">
      <x:c r="A442" s="43" t="str">
        <x:v>2026-03-04</x:v>
      </x:c>
      <x:c r="B442" s="39" t="str">
        <x:v>SEO</x:v>
      </x:c>
      <x:c r="C442" s="39" t="n">
        <x:v>1985</x:v>
      </x:c>
      <x:c r="D442" s="39" t="n">
        <x:v>110</x:v>
      </x:c>
      <x:c r="E442" s="39" t="n">
        <x:v>1</x:v>
      </x:c>
      <x:c r="F442" s="44" t="n">
        <x:v>1208.2</x:v>
      </x:c>
      <x:c r="G442" s="44" t="n">
        <x:v>684.7</x:v>
      </x:c>
      <x:c r="H442" s="39" t="n">
        <x:v>6</x:v>
      </x:c>
      <x:c r="I442" s="41" t="n">
        <x:v>0.055415617128463476</x:v>
      </x:c>
      <x:c r="J442" s="41" t="n">
        <x:v>0.00909090909090909</x:v>
      </x:c>
      <x:c r="K442" s="44" t="n">
        <x:v>1208.2</x:v>
      </x:c>
      <x:c r="L442" s="42" t="n">
        <x:v>0.5667108094686311</x:v>
      </x:c>
      <x:c r="M442" s="44" t="n">
        <x:v>-523.5</x:v>
      </x:c>
      <x:c r="N442" s="41" t="n">
        <x:v>-0.764568424127355</x:v>
      </x:c>
    </x:row>
    <x:row r="443" ht="15" hidden="0" customHeight="1">
      <x:c r="A443" s="43" t="str">
        <x:v>2026-03-05</x:v>
      </x:c>
      <x:c r="B443" s="39" t="str">
        <x:v>Content</x:v>
      </x:c>
      <x:c r="C443" s="39" t="n">
        <x:v>1074</x:v>
      </x:c>
      <x:c r="D443" s="39" t="n">
        <x:v>85</x:v>
      </x:c>
      <x:c r="E443" s="39" t="n">
        <x:v>1</x:v>
      </x:c>
      <x:c r="F443" s="44" t="n">
        <x:v>763.39</x:v>
      </x:c>
      <x:c r="G443" s="44" t="n">
        <x:v>317.9</x:v>
      </x:c>
      <x:c r="H443" s="39" t="n">
        <x:v>6</x:v>
      </x:c>
      <x:c r="I443" s="41" t="n">
        <x:v>0.07914338919925512</x:v>
      </x:c>
      <x:c r="J443" s="41" t="n">
        <x:v>0.011764705882352941</x:v>
      </x:c>
      <x:c r="K443" s="44" t="n">
        <x:v>763.39</x:v>
      </x:c>
      <x:c r="L443" s="42" t="n">
        <x:v>0.4164319679325115</x:v>
      </x:c>
      <x:c r="M443" s="44" t="n">
        <x:v>-445.49</x:v>
      </x:c>
      <x:c r="N443" s="41" t="n">
        <x:v>-1.4013526266121423</x:v>
      </x:c>
    </x:row>
    <x:row r="444" ht="15" hidden="0" customHeight="1">
      <x:c r="A444" s="43" t="str">
        <x:v>2026-03-05</x:v>
      </x:c>
      <x:c r="B444" s="39" t="str">
        <x:v>LinkedIn Ads</x:v>
      </x:c>
      <x:c r="C444" s="39" t="n">
        <x:v>2367</x:v>
      </x:c>
      <x:c r="D444" s="39" t="n">
        <x:v>121</x:v>
      </x:c>
      <x:c r="E444" s="39" t="n">
        <x:v>1</x:v>
      </x:c>
      <x:c r="F444" s="44" t="n">
        <x:v>1133.3899999999999</x:v>
      </x:c>
      <x:c r="G444" s="44" t="n">
        <x:v>303.9</x:v>
      </x:c>
      <x:c r="H444" s="39" t="n">
        <x:v>6</x:v>
      </x:c>
      <x:c r="I444" s="41" t="n">
        <x:v>0.05111956062526405</x:v>
      </x:c>
      <x:c r="J444" s="41" t="n">
        <x:v>0.008264462809917356</x:v>
      </x:c>
      <x:c r="K444" s="44" t="n">
        <x:v>1133.3899999999999</x:v>
      </x:c>
      <x:c r="L444" s="42" t="n">
        <x:v>0.2681336521409224</x:v>
      </x:c>
      <x:c r="M444" s="44" t="n">
        <x:v>-829.4899999999999</x:v>
      </x:c>
      <x:c r="N444" s="41" t="n">
        <x:v>-2.729483382691675</x:v>
      </x:c>
    </x:row>
    <x:row r="445" ht="15" hidden="0" customHeight="1">
      <x:c r="A445" s="43" t="str">
        <x:v>2026-03-05</x:v>
      </x:c>
      <x:c r="B445" s="39" t="str">
        <x:v>Outbound Sales</x:v>
      </x:c>
      <x:c r="C445" s="39" t="n">
        <x:v>2322</x:v>
      </x:c>
      <x:c r="D445" s="39" t="n">
        <x:v>89</x:v>
      </x:c>
      <x:c r="E445" s="39" t="n">
        <x:v>1</x:v>
      </x:c>
      <x:c r="F445" s="44" t="n">
        <x:v>969.73</x:v>
      </x:c>
      <x:c r="G445" s="44" t="n">
        <x:v>311</x:v>
      </x:c>
      <x:c r="H445" s="39" t="n">
        <x:v>6</x:v>
      </x:c>
      <x:c r="I445" s="41" t="n">
        <x:v>0.03832902670111973</x:v>
      </x:c>
      <x:c r="J445" s="41" t="n">
        <x:v>0.011235955056179775</x:v>
      </x:c>
      <x:c r="K445" s="44" t="n">
        <x:v>969.73</x:v>
      </x:c>
      <x:c r="L445" s="42" t="n">
        <x:v>0.3207078258896806</x:v>
      </x:c>
      <x:c r="M445" s="44" t="n">
        <x:v>-658.73</x:v>
      </x:c>
      <x:c r="N445" s="41" t="n">
        <x:v>-2.118102893890675</x:v>
      </x:c>
    </x:row>
    <x:row r="446" ht="15" hidden="0" customHeight="1">
      <x:c r="A446" s="43" t="str">
        <x:v>2026-03-05</x:v>
      </x:c>
      <x:c r="B446" s="39" t="str">
        <x:v>Paid Search</x:v>
      </x:c>
      <x:c r="C446" s="39" t="n">
        <x:v>2103</x:v>
      </x:c>
      <x:c r="D446" s="39" t="n">
        <x:v>128</x:v>
      </x:c>
      <x:c r="E446" s="39" t="n">
        <x:v>1</x:v>
      </x:c>
      <x:c r="F446" s="44" t="n">
        <x:v>1945.71</x:v>
      </x:c>
      <x:c r="G446" s="44" t="n">
        <x:v>372.06</x:v>
      </x:c>
      <x:c r="H446" s="39" t="n">
        <x:v>6</x:v>
      </x:c>
      <x:c r="I446" s="41" t="n">
        <x:v>0.060865430337612936</x:v>
      </x:c>
      <x:c r="J446" s="41" t="n">
        <x:v>0.0078125</x:v>
      </x:c>
      <x:c r="K446" s="44" t="n">
        <x:v>1945.71</x:v>
      </x:c>
      <x:c r="L446" s="42" t="n">
        <x:v>0.19122068550811785</x:v>
      </x:c>
      <x:c r="M446" s="44" t="n">
        <x:v>-1573.65</x:v>
      </x:c>
      <x:c r="N446" s="41" t="n">
        <x:v>-4.229559748427673</x:v>
      </x:c>
    </x:row>
    <x:row r="447" ht="15" hidden="0" customHeight="1">
      <x:c r="A447" s="43" t="str">
        <x:v>2026-03-05</x:v>
      </x:c>
      <x:c r="B447" s="39" t="str">
        <x:v>Partnerships</x:v>
      </x:c>
      <x:c r="C447" s="39" t="n">
        <x:v>2823</x:v>
      </x:c>
      <x:c r="D447" s="39" t="n">
        <x:v>160</x:v>
      </x:c>
      <x:c r="E447" s="39" t="n">
        <x:v>1</x:v>
      </x:c>
      <x:c r="F447" s="44" t="n">
        <x:v>783.3000000000001</x:v>
      </x:c>
      <x:c r="G447" s="44" t="n">
        <x:v>331.76</x:v>
      </x:c>
      <x:c r="H447" s="39" t="n">
        <x:v>6</x:v>
      </x:c>
      <x:c r="I447" s="41" t="n">
        <x:v>0.05667729365922777</x:v>
      </x:c>
      <x:c r="J447" s="41" t="n">
        <x:v>0.00625</x:v>
      </x:c>
      <x:c r="K447" s="44" t="n">
        <x:v>783.3000000000001</x:v>
      </x:c>
      <x:c r="L447" s="42" t="n">
        <x:v>0.42354142729477845</x:v>
      </x:c>
      <x:c r="M447" s="44" t="n">
        <x:v>-451.5400000000001</x:v>
      </x:c>
      <x:c r="N447" s="41" t="n">
        <x:v>-1.361044128285508</x:v>
      </x:c>
    </x:row>
    <x:row r="448" ht="15" hidden="0" customHeight="1">
      <x:c r="A448" s="43" t="str">
        <x:v>2026-03-05</x:v>
      </x:c>
      <x:c r="B448" s="39" t="str">
        <x:v>Referral</x:v>
      </x:c>
      <x:c r="C448" s="39" t="n">
        <x:v>3131</x:v>
      </x:c>
      <x:c r="D448" s="39" t="n">
        <x:v>265</x:v>
      </x:c>
      <x:c r="E448" s="39" t="n">
        <x:v>7</x:v>
      </x:c>
      <x:c r="F448" s="44" t="n">
        <x:v>307.05</x:v>
      </x:c>
      <x:c r="G448" s="44" t="n">
        <x:v>3887.34</x:v>
      </x:c>
      <x:c r="H448" s="39" t="n">
        <x:v>6</x:v>
      </x:c>
      <x:c r="I448" s="41" t="n">
        <x:v>0.08463749600766528</x:v>
      </x:c>
      <x:c r="J448" s="41" t="n">
        <x:v>0.026415094339622643</x:v>
      </x:c>
      <x:c r="K448" s="44" t="n">
        <x:v>43.864285714285714</x:v>
      </x:c>
      <x:c r="L448" s="42" t="n">
        <x:v>12.66028334147533</x:v>
      </x:c>
      <x:c r="M448" s="44" t="n">
        <x:v>3580.29</x:v>
      </x:c>
      <x:c r="N448" s="41" t="n">
        <x:v>0.9210128262513698</x:v>
      </x:c>
    </x:row>
    <x:row r="449" ht="15" hidden="0" customHeight="1">
      <x:c r="A449" s="43" t="str">
        <x:v>2026-03-05</x:v>
      </x:c>
      <x:c r="B449" s="39" t="str">
        <x:v>SEO</x:v>
      </x:c>
      <x:c r="C449" s="39" t="n">
        <x:v>1504</x:v>
      </x:c>
      <x:c r="D449" s="39" t="n">
        <x:v>116</x:v>
      </x:c>
      <x:c r="E449" s="39" t="n">
        <x:v>1</x:v>
      </x:c>
      <x:c r="F449" s="44" t="n">
        <x:v>970.71</x:v>
      </x:c>
      <x:c r="G449" s="44" t="n">
        <x:v>344.43</x:v>
      </x:c>
      <x:c r="H449" s="39" t="n">
        <x:v>6</x:v>
      </x:c>
      <x:c r="I449" s="41" t="n">
        <x:v>0.07712765957446809</x:v>
      </x:c>
      <x:c r="J449" s="41" t="n">
        <x:v>0.008620689655172414</x:v>
      </x:c>
      <x:c r="K449" s="44" t="n">
        <x:v>970.71</x:v>
      </x:c>
      <x:c r="L449" s="42" t="n">
        <x:v>0.35482275859937573</x:v>
      </x:c>
      <x:c r="M449" s="44" t="n">
        <x:v>-626.28</x:v>
      </x:c>
      <x:c r="N449" s="41" t="n">
        <x:v>-1.8183085097116976</x:v>
      </x:c>
    </x:row>
    <x:row r="450" ht="15" hidden="0" customHeight="1">
      <x:c r="A450" s="43" t="str">
        <x:v>2026-03-06</x:v>
      </x:c>
      <x:c r="B450" s="39" t="str">
        <x:v>Content</x:v>
      </x:c>
      <x:c r="C450" s="39" t="n">
        <x:v>1843</x:v>
      </x:c>
      <x:c r="D450" s="39" t="n">
        <x:v>94</x:v>
      </x:c>
      <x:c r="E450" s="39" t="n">
        <x:v>1</x:v>
      </x:c>
      <x:c r="F450" s="44" t="n">
        <x:v>997.8500000000001</x:v>
      </x:c>
      <x:c r="G450" s="44" t="n">
        <x:v>355.59</x:v>
      </x:c>
      <x:c r="H450" s="39" t="n">
        <x:v>6</x:v>
      </x:c>
      <x:c r="I450" s="41" t="n">
        <x:v>0.051003798155181766</x:v>
      </x:c>
      <x:c r="J450" s="41" t="n">
        <x:v>0.010638297872340425</x:v>
      </x:c>
      <x:c r="K450" s="44" t="n">
        <x:v>997.8500000000001</x:v>
      </x:c>
      <x:c r="L450" s="42" t="n">
        <x:v>0.35635616575637613</x:v>
      </x:c>
      <x:c r="M450" s="44" t="n">
        <x:v>-642.2600000000002</x:v>
      </x:c>
      <x:c r="N450" s="41" t="n">
        <x:v>-1.80618127618887</x:v>
      </x:c>
    </x:row>
    <x:row r="451" ht="15" hidden="0" customHeight="1">
      <x:c r="A451" s="43" t="str">
        <x:v>2026-03-06</x:v>
      </x:c>
      <x:c r="B451" s="39" t="str">
        <x:v>LinkedIn Ads</x:v>
      </x:c>
      <x:c r="C451" s="39" t="n">
        <x:v>2512</x:v>
      </x:c>
      <x:c r="D451" s="39" t="n">
        <x:v>121</x:v>
      </x:c>
      <x:c r="E451" s="39" t="n">
        <x:v>1</x:v>
      </x:c>
      <x:c r="F451" s="44" t="n">
        <x:v>1458.38</x:v>
      </x:c>
      <x:c r="G451" s="44" t="n">
        <x:v>350.71</x:v>
      </x:c>
      <x:c r="H451" s="39" t="n">
        <x:v>6</x:v>
      </x:c>
      <x:c r="I451" s="41" t="n">
        <x:v>0.0481687898089172</x:v>
      </x:c>
      <x:c r="J451" s="41" t="n">
        <x:v>0.008264462809917356</x:v>
      </x:c>
      <x:c r="K451" s="44" t="n">
        <x:v>1458.38</x:v>
      </x:c>
      <x:c r="L451" s="42" t="n">
        <x:v>0.2404791618096792</x:v>
      </x:c>
      <x:c r="M451" s="44" t="n">
        <x:v>-1107.67</x:v>
      </x:c>
      <x:c r="N451" s="41" t="n">
        <x:v>-3.1583644606655077</x:v>
      </x:c>
    </x:row>
    <x:row r="452" ht="15" hidden="0" customHeight="1">
      <x:c r="A452" s="43" t="str">
        <x:v>2026-03-06</x:v>
      </x:c>
      <x:c r="B452" s="39" t="str">
        <x:v>Outbound Sales</x:v>
      </x:c>
      <x:c r="C452" s="39" t="n">
        <x:v>3546</x:v>
      </x:c>
      <x:c r="D452" s="39" t="n">
        <x:v>237</x:v>
      </x:c>
      <x:c r="E452" s="39" t="n">
        <x:v>2</x:v>
      </x:c>
      <x:c r="F452" s="44" t="n">
        <x:v>1388.8899999999999</x:v>
      </x:c>
      <x:c r="G452" s="44" t="n">
        <x:v>1080.7</x:v>
      </x:c>
      <x:c r="H452" s="39" t="n">
        <x:v>6</x:v>
      </x:c>
      <x:c r="I452" s="41" t="n">
        <x:v>0.06683587140439932</x:v>
      </x:c>
      <x:c r="J452" s="41" t="n">
        <x:v>0.008438818565400843</x:v>
      </x:c>
      <x:c r="K452" s="44" t="n">
        <x:v>694.4449999999999</x:v>
      </x:c>
      <x:c r="L452" s="42" t="n">
        <x:v>0.7781033775172981</x:v>
      </x:c>
      <x:c r="M452" s="44" t="n">
        <x:v>-308.1899999999998</x:v>
      </x:c>
      <x:c r="N452" s="41" t="n">
        <x:v>-0.2851762746368093</x:v>
      </x:c>
    </x:row>
    <x:row r="453" ht="15" hidden="0" customHeight="1">
      <x:c r="A453" s="43" t="str">
        <x:v>2026-03-06</x:v>
      </x:c>
      <x:c r="B453" s="39" t="str">
        <x:v>Paid Search</x:v>
      </x:c>
      <x:c r="C453" s="39" t="n">
        <x:v>3051</x:v>
      </x:c>
      <x:c r="D453" s="39" t="n">
        <x:v>273</x:v>
      </x:c>
      <x:c r="E453" s="39" t="n">
        <x:v>3</x:v>
      </x:c>
      <x:c r="F453" s="44" t="n">
        <x:v>2545.02</x:v>
      </x:c>
      <x:c r="G453" s="44" t="n">
        <x:v>1358.12</x:v>
      </x:c>
      <x:c r="H453" s="39" t="n">
        <x:v>6</x:v>
      </x:c>
      <x:c r="I453" s="41" t="n">
        <x:v>0.08947885939036382</x:v>
      </x:c>
      <x:c r="J453" s="41" t="n">
        <x:v>0.01098901098901099</x:v>
      </x:c>
      <x:c r="K453" s="44" t="n">
        <x:v>848.34</x:v>
      </x:c>
      <x:c r="L453" s="42" t="n">
        <x:v>0.5336382425285459</x:v>
      </x:c>
      <x:c r="M453" s="44" t="n">
        <x:v>-1186.9</x:v>
      </x:c>
      <x:c r="N453" s="41" t="n">
        <x:v>-0.8739286660972522</x:v>
      </x:c>
    </x:row>
    <x:row r="454" ht="15" hidden="0" customHeight="1">
      <x:c r="A454" s="43" t="str">
        <x:v>2026-03-06</x:v>
      </x:c>
      <x:c r="B454" s="39" t="str">
        <x:v>Partnerships</x:v>
      </x:c>
      <x:c r="C454" s="39" t="n">
        <x:v>2678</x:v>
      </x:c>
      <x:c r="D454" s="39" t="n">
        <x:v>99</x:v>
      </x:c>
      <x:c r="E454" s="39" t="n">
        <x:v>1</x:v>
      </x:c>
      <x:c r="F454" s="44" t="n">
        <x:v>1057.47</x:v>
      </x:c>
      <x:c r="G454" s="44" t="n">
        <x:v>296.68</x:v>
      </x:c>
      <x:c r="H454" s="39" t="n">
        <x:v>6</x:v>
      </x:c>
      <x:c r="I454" s="41" t="n">
        <x:v>0.03696788648244959</x:v>
      </x:c>
      <x:c r="J454" s="41" t="n">
        <x:v>0.010101010101010102</x:v>
      </x:c>
      <x:c r="K454" s="44" t="n">
        <x:v>1057.47</x:v>
      </x:c>
      <x:c r="L454" s="42" t="n">
        <x:v>0.2805564224044181</x:v>
      </x:c>
      <x:c r="M454" s="44" t="n">
        <x:v>-760.79</x:v>
      </x:c>
      <x:c r="N454" s="41" t="n">
        <x:v>-2.5643454226776323</x:v>
      </x:c>
    </x:row>
    <x:row r="455" ht="15" hidden="0" customHeight="1">
      <x:c r="A455" s="43" t="str">
        <x:v>2026-03-06</x:v>
      </x:c>
      <x:c r="B455" s="39" t="str">
        <x:v>Referral</x:v>
      </x:c>
      <x:c r="C455" s="39" t="n">
        <x:v>3138</x:v>
      </x:c>
      <x:c r="D455" s="39" t="n">
        <x:v>237</x:v>
      </x:c>
      <x:c r="E455" s="39" t="n">
        <x:v>6</x:v>
      </x:c>
      <x:c r="F455" s="44" t="n">
        <x:v>426.22</x:v>
      </x:c>
      <x:c r="G455" s="44" t="n">
        <x:v>3144.7</x:v>
      </x:c>
      <x:c r="H455" s="39" t="n">
        <x:v>6</x:v>
      </x:c>
      <x:c r="I455" s="41" t="n">
        <x:v>0.07552581261950286</x:v>
      </x:c>
      <x:c r="J455" s="41" t="n">
        <x:v>0.02531645569620253</x:v>
      </x:c>
      <x:c r="K455" s="44" t="n">
        <x:v>71.03666666666668</x:v>
      </x:c>
      <x:c r="L455" s="42" t="n">
        <x:v>7.378114588710055</x:v>
      </x:c>
      <x:c r="M455" s="44" t="n">
        <x:v>2718.4799999999996</x:v>
      </x:c>
      <x:c r="N455" s="41" t="n">
        <x:v>0.8644640188253251</x:v>
      </x:c>
    </x:row>
    <x:row r="456" ht="15" hidden="0" customHeight="1">
      <x:c r="A456" s="43" t="str">
        <x:v>2026-03-06</x:v>
      </x:c>
      <x:c r="B456" s="39" t="str">
        <x:v>SEO</x:v>
      </x:c>
      <x:c r="C456" s="39" t="n">
        <x:v>1601</x:v>
      </x:c>
      <x:c r="D456" s="39" t="n">
        <x:v>79</x:v>
      </x:c>
      <x:c r="E456" s="39" t="n">
        <x:v>2</x:v>
      </x:c>
      <x:c r="F456" s="44" t="n">
        <x:v>1305.4499999999998</x:v>
      </x:c>
      <x:c r="G456" s="44" t="n">
        <x:v>915.18</x:v>
      </x:c>
      <x:c r="H456" s="39" t="n">
        <x:v>6</x:v>
      </x:c>
      <x:c r="I456" s="41" t="n">
        <x:v>0.04934415990006246</x:v>
      </x:c>
      <x:c r="J456" s="41" t="n">
        <x:v>0.02531645569620253</x:v>
      </x:c>
      <x:c r="K456" s="44" t="n">
        <x:v>652.7249999999999</x:v>
      </x:c>
      <x:c r="L456" s="42" t="n">
        <x:v>0.7010456164540964</x:v>
      </x:c>
      <x:c r="M456" s="44" t="n">
        <x:v>-390.26999999999987</x:v>
      </x:c>
      <x:c r="N456" s="41" t="n">
        <x:v>-0.4264407001901264</x:v>
      </x:c>
    </x:row>
    <x:row r="457" ht="15" hidden="0" customHeight="1">
      <x:c r="A457" s="43" t="str">
        <x:v>2026-03-07</x:v>
      </x:c>
      <x:c r="B457" s="39" t="str">
        <x:v>Content</x:v>
      </x:c>
      <x:c r="C457" s="39" t="n">
        <x:v>1621</x:v>
      </x:c>
      <x:c r="D457" s="39" t="n">
        <x:v>89</x:v>
      </x:c>
      <x:c r="E457" s="39" t="n">
        <x:v>0</x:v>
      </x:c>
      <x:c r="F457" s="44" t="n">
        <x:v>609.77</x:v>
      </x:c>
      <x:c r="G457" s="44" t="n">
        <x:v>0</x:v>
      </x:c>
      <x:c r="H457" s="39" t="n">
        <x:v>6</x:v>
      </x:c>
      <x:c r="I457" s="41" t="n">
        <x:v>0.054904380012338064</x:v>
      </x:c>
      <x:c r="J457" s="41" t="n">
        <x:v>0</x:v>
      </x:c>
      <x:c r="K457" s="44"/>
      <x:c r="L457" s="42" t="n">
        <x:v>0</x:v>
      </x:c>
      <x:c r="M457" s="44" t="n">
        <x:v>-609.77</x:v>
      </x:c>
      <x:c r="N457" s="41"/>
    </x:row>
    <x:row r="458" ht="15" hidden="0" customHeight="1">
      <x:c r="A458" s="43" t="str">
        <x:v>2026-03-07</x:v>
      </x:c>
      <x:c r="B458" s="39" t="str">
        <x:v>LinkedIn Ads</x:v>
      </x:c>
      <x:c r="C458" s="39" t="n">
        <x:v>2714</x:v>
      </x:c>
      <x:c r="D458" s="39" t="n">
        <x:v>121</x:v>
      </x:c>
      <x:c r="E458" s="39" t="n">
        <x:v>0</x:v>
      </x:c>
      <x:c r="F458" s="44" t="n">
        <x:v>990.8</x:v>
      </x:c>
      <x:c r="G458" s="44" t="n">
        <x:v>0</x:v>
      </x:c>
      <x:c r="H458" s="39" t="n">
        <x:v>6</x:v>
      </x:c>
      <x:c r="I458" s="41" t="n">
        <x:v>0.04458364038319823</x:v>
      </x:c>
      <x:c r="J458" s="41" t="n">
        <x:v>0</x:v>
      </x:c>
      <x:c r="K458" s="44"/>
      <x:c r="L458" s="42" t="n">
        <x:v>0</x:v>
      </x:c>
      <x:c r="M458" s="44" t="n">
        <x:v>-990.8</x:v>
      </x:c>
      <x:c r="N458" s="41"/>
    </x:row>
    <x:row r="459" ht="15" hidden="0" customHeight="1">
      <x:c r="A459" s="43" t="str">
        <x:v>2026-03-07</x:v>
      </x:c>
      <x:c r="B459" s="39" t="str">
        <x:v>Outbound Sales</x:v>
      </x:c>
      <x:c r="C459" s="39" t="n">
        <x:v>2571</x:v>
      </x:c>
      <x:c r="D459" s="39" t="n">
        <x:v>80</x:v>
      </x:c>
      <x:c r="E459" s="39" t="n">
        <x:v>0</x:v>
      </x:c>
      <x:c r="F459" s="44" t="n">
        <x:v>683.54</x:v>
      </x:c>
      <x:c r="G459" s="44" t="n">
        <x:v>0</x:v>
      </x:c>
      <x:c r="H459" s="39" t="n">
        <x:v>6</x:v>
      </x:c>
      <x:c r="I459" s="41" t="n">
        <x:v>0.031116297160637883</x:v>
      </x:c>
      <x:c r="J459" s="41" t="n">
        <x:v>0</x:v>
      </x:c>
      <x:c r="K459" s="44"/>
      <x:c r="L459" s="42" t="n">
        <x:v>0</x:v>
      </x:c>
      <x:c r="M459" s="44" t="n">
        <x:v>-683.54</x:v>
      </x:c>
      <x:c r="N459" s="41"/>
    </x:row>
    <x:row r="460" ht="15" hidden="0" customHeight="1">
      <x:c r="A460" s="43" t="str">
        <x:v>2026-03-07</x:v>
      </x:c>
      <x:c r="B460" s="39" t="str">
        <x:v>Paid Search</x:v>
      </x:c>
      <x:c r="C460" s="39" t="n">
        <x:v>2294</x:v>
      </x:c>
      <x:c r="D460" s="39" t="n">
        <x:v>167</x:v>
      </x:c>
      <x:c r="E460" s="39" t="n">
        <x:v>2</x:v>
      </x:c>
      <x:c r="F460" s="44" t="n">
        <x:v>1695.12</x:v>
      </x:c>
      <x:c r="G460" s="44" t="n">
        <x:v>1012.0600000000001</x:v>
      </x:c>
      <x:c r="H460" s="39" t="n">
        <x:v>6</x:v>
      </x:c>
      <x:c r="I460" s="41" t="n">
        <x:v>0.07279860505666957</x:v>
      </x:c>
      <x:c r="J460" s="41" t="n">
        <x:v>0.011976047904191617</x:v>
      </x:c>
      <x:c r="K460" s="44" t="n">
        <x:v>847.56</x:v>
      </x:c>
      <x:c r="L460" s="42" t="n">
        <x:v>0.5970432771721177</x:v>
      </x:c>
      <x:c r="M460" s="44" t="n">
        <x:v>-683.0599999999998</x:v>
      </x:c>
      <x:c r="N460" s="41" t="n">
        <x:v>-0.6749204592613084</x:v>
      </x:c>
    </x:row>
    <x:row r="461" ht="15" hidden="0" customHeight="1">
      <x:c r="A461" s="43" t="str">
        <x:v>2026-03-07</x:v>
      </x:c>
      <x:c r="B461" s="39" t="str">
        <x:v>Partnerships</x:v>
      </x:c>
      <x:c r="C461" s="39" t="n">
        <x:v>2201</x:v>
      </x:c>
      <x:c r="D461" s="39" t="n">
        <x:v>79</x:v>
      </x:c>
      <x:c r="E461" s="39" t="n">
        <x:v>0</x:v>
      </x:c>
      <x:c r="F461" s="44" t="n">
        <x:v>619.76</x:v>
      </x:c>
      <x:c r="G461" s="44" t="n">
        <x:v>0</x:v>
      </x:c>
      <x:c r="H461" s="39" t="n">
        <x:v>6</x:v>
      </x:c>
      <x:c r="I461" s="41" t="n">
        <x:v>0.03589277601090413</x:v>
      </x:c>
      <x:c r="J461" s="41" t="n">
        <x:v>0</x:v>
      </x:c>
      <x:c r="K461" s="44"/>
      <x:c r="L461" s="42" t="n">
        <x:v>0</x:v>
      </x:c>
      <x:c r="M461" s="44" t="n">
        <x:v>-619.76</x:v>
      </x:c>
      <x:c r="N461" s="41"/>
    </x:row>
    <x:row r="462" ht="15" hidden="0" customHeight="1">
      <x:c r="A462" s="43" t="str">
        <x:v>2026-03-07</x:v>
      </x:c>
      <x:c r="B462" s="39" t="str">
        <x:v>Referral</x:v>
      </x:c>
      <x:c r="C462" s="39" t="n">
        <x:v>2967</x:v>
      </x:c>
      <x:c r="D462" s="39" t="n">
        <x:v>278</x:v>
      </x:c>
      <x:c r="E462" s="39" t="n">
        <x:v>7</x:v>
      </x:c>
      <x:c r="F462" s="44" t="n">
        <x:v>219.92</x:v>
      </x:c>
      <x:c r="G462" s="44" t="n">
        <x:v>3497.7799999999997</x:v>
      </x:c>
      <x:c r="H462" s="39" t="n">
        <x:v>6</x:v>
      </x:c>
      <x:c r="I462" s="41" t="n">
        <x:v>0.09369733737782272</x:v>
      </x:c>
      <x:c r="J462" s="41" t="n">
        <x:v>0.025179856115107913</x:v>
      </x:c>
      <x:c r="K462" s="44" t="n">
        <x:v>31.417142857142856</x:v>
      </x:c>
      <x:c r="L462" s="42" t="n">
        <x:v>15.90478355765733</x:v>
      </x:c>
      <x:c r="M462" s="44" t="n">
        <x:v>3277.8599999999997</x:v>
      </x:c>
      <x:c r="N462" s="41" t="n">
        <x:v>0.9371258341004866</x:v>
      </x:c>
    </x:row>
    <x:row r="463" ht="15" hidden="0" customHeight="1">
      <x:c r="A463" s="43" t="str">
        <x:v>2026-03-07</x:v>
      </x:c>
      <x:c r="B463" s="39" t="str">
        <x:v>SEO</x:v>
      </x:c>
      <x:c r="C463" s="39" t="n">
        <x:v>2051</x:v>
      </x:c>
      <x:c r="D463" s="39" t="n">
        <x:v>40</x:v>
      </x:c>
      <x:c r="E463" s="39" t="n">
        <x:v>0</x:v>
      </x:c>
      <x:c r="F463" s="44" t="n">
        <x:v>710.4</x:v>
      </x:c>
      <x:c r="G463" s="44" t="n">
        <x:v>0</x:v>
      </x:c>
      <x:c r="H463" s="39" t="n">
        <x:v>6</x:v>
      </x:c>
      <x:c r="I463" s="41" t="n">
        <x:v>0.019502681618722574</x:v>
      </x:c>
      <x:c r="J463" s="41" t="n">
        <x:v>0</x:v>
      </x:c>
      <x:c r="K463" s="44"/>
      <x:c r="L463" s="42" t="n">
        <x:v>0</x:v>
      </x:c>
      <x:c r="M463" s="44" t="n">
        <x:v>-710.4</x:v>
      </x:c>
      <x:c r="N463" s="41"/>
    </x:row>
    <x:row r="464" ht="15" hidden="0" customHeight="1">
      <x:c r="A464" s="43" t="str">
        <x:v>2026-03-08</x:v>
      </x:c>
      <x:c r="B464" s="39" t="str">
        <x:v>Content</x:v>
      </x:c>
      <x:c r="C464" s="39" t="n">
        <x:v>1447</x:v>
      </x:c>
      <x:c r="D464" s="39" t="n">
        <x:v>106</x:v>
      </x:c>
      <x:c r="E464" s="39" t="n">
        <x:v>1</x:v>
      </x:c>
      <x:c r="F464" s="44" t="n">
        <x:v>962.21</x:v>
      </x:c>
      <x:c r="G464" s="44" t="n">
        <x:v>306.34</x:v>
      </x:c>
      <x:c r="H464" s="39" t="n">
        <x:v>6</x:v>
      </x:c>
      <x:c r="I464" s="41" t="n">
        <x:v>0.07325501036627505</x:v>
      </x:c>
      <x:c r="J464" s="41" t="n">
        <x:v>0.009433962264150943</x:v>
      </x:c>
      <x:c r="K464" s="44" t="n">
        <x:v>962.21</x:v>
      </x:c>
      <x:c r="L464" s="42" t="n">
        <x:v>0.31837124951933565</x:v>
      </x:c>
      <x:c r="M464" s="44" t="n">
        <x:v>-655.8700000000001</x:v>
      </x:c>
      <x:c r="N464" s="41" t="n">
        <x:v>-2.140987138473592</x:v>
      </x:c>
    </x:row>
    <x:row r="465" ht="15" hidden="0" customHeight="1">
      <x:c r="A465" s="43" t="str">
        <x:v>2026-03-08</x:v>
      </x:c>
      <x:c r="B465" s="39" t="str">
        <x:v>LinkedIn Ads</x:v>
      </x:c>
      <x:c r="C465" s="39" t="n">
        <x:v>2013</x:v>
      </x:c>
      <x:c r="D465" s="39" t="n">
        <x:v>83</x:v>
      </x:c>
      <x:c r="E465" s="39" t="n">
        <x:v>0</x:v>
      </x:c>
      <x:c r="F465" s="44" t="n">
        <x:v>1439.31</x:v>
      </x:c>
      <x:c r="G465" s="44" t="n">
        <x:v>0</x:v>
      </x:c>
      <x:c r="H465" s="39" t="n">
        <x:v>6</x:v>
      </x:c>
      <x:c r="I465" s="41" t="n">
        <x:v>0.04123199205166418</x:v>
      </x:c>
      <x:c r="J465" s="41" t="n">
        <x:v>0</x:v>
      </x:c>
      <x:c r="K465" s="44"/>
      <x:c r="L465" s="42" t="n">
        <x:v>0</x:v>
      </x:c>
      <x:c r="M465" s="44" t="n">
        <x:v>-1439.31</x:v>
      </x:c>
      <x:c r="N465" s="41"/>
    </x:row>
    <x:row r="466" ht="15" hidden="0" customHeight="1">
      <x:c r="A466" s="43" t="str">
        <x:v>2026-03-08</x:v>
      </x:c>
      <x:c r="B466" s="39" t="str">
        <x:v>Outbound Sales</x:v>
      </x:c>
      <x:c r="C466" s="39" t="n">
        <x:v>2351</x:v>
      </x:c>
      <x:c r="D466" s="39" t="n">
        <x:v>39</x:v>
      </x:c>
      <x:c r="E466" s="39" t="n">
        <x:v>0</x:v>
      </x:c>
      <x:c r="F466" s="44" t="n">
        <x:v>1197.61</x:v>
      </x:c>
      <x:c r="G466" s="44" t="n">
        <x:v>0</x:v>
      </x:c>
      <x:c r="H466" s="39" t="n">
        <x:v>6</x:v>
      </x:c>
      <x:c r="I466" s="41" t="n">
        <x:v>0.01658868566567418</x:v>
      </x:c>
      <x:c r="J466" s="41" t="n">
        <x:v>0</x:v>
      </x:c>
      <x:c r="K466" s="44"/>
      <x:c r="L466" s="42" t="n">
        <x:v>0</x:v>
      </x:c>
      <x:c r="M466" s="44" t="n">
        <x:v>-1197.61</x:v>
      </x:c>
      <x:c r="N466" s="41"/>
    </x:row>
    <x:row r="467" ht="15" hidden="0" customHeight="1">
      <x:c r="A467" s="43" t="str">
        <x:v>2026-03-08</x:v>
      </x:c>
      <x:c r="B467" s="39" t="str">
        <x:v>Paid Search</x:v>
      </x:c>
      <x:c r="C467" s="39" t="n">
        <x:v>2415</x:v>
      </x:c>
      <x:c r="D467" s="39" t="n">
        <x:v>156</x:v>
      </x:c>
      <x:c r="E467" s="39" t="n">
        <x:v>2</x:v>
      </x:c>
      <x:c r="F467" s="44" t="n">
        <x:v>2565.6499999999996</x:v>
      </x:c>
      <x:c r="G467" s="44" t="n">
        <x:v>1390.02</x:v>
      </x:c>
      <x:c r="H467" s="39" t="n">
        <x:v>6</x:v>
      </x:c>
      <x:c r="I467" s="41" t="n">
        <x:v>0.06459627329192547</x:v>
      </x:c>
      <x:c r="J467" s="41" t="n">
        <x:v>0.01282051282051282</x:v>
      </x:c>
      <x:c r="K467" s="44" t="n">
        <x:v>1282.8249999999998</x:v>
      </x:c>
      <x:c r="L467" s="42" t="n">
        <x:v>0.5417808352659171</x:v>
      </x:c>
      <x:c r="M467" s="44" t="n">
        <x:v>-1175.6299999999997</x:v>
      </x:c>
      <x:c r="N467" s="41" t="n">
        <x:v>-0.8457648091394366</x:v>
      </x:c>
    </x:row>
    <x:row r="468" ht="15" hidden="0" customHeight="1">
      <x:c r="A468" s="43" t="str">
        <x:v>2026-03-08</x:v>
      </x:c>
      <x:c r="B468" s="39" t="str">
        <x:v>Partnerships</x:v>
      </x:c>
      <x:c r="C468" s="39" t="n">
        <x:v>1757</x:v>
      </x:c>
      <x:c r="D468" s="39" t="n">
        <x:v>51</x:v>
      </x:c>
      <x:c r="E468" s="39" t="n">
        <x:v>0</x:v>
      </x:c>
      <x:c r="F468" s="44" t="n">
        <x:v>961.84</x:v>
      </x:c>
      <x:c r="G468" s="44" t="n">
        <x:v>0</x:v>
      </x:c>
      <x:c r="H468" s="39" t="n">
        <x:v>6</x:v>
      </x:c>
      <x:c r="I468" s="41" t="n">
        <x:v>0.02902675014228799</x:v>
      </x:c>
      <x:c r="J468" s="41" t="n">
        <x:v>0</x:v>
      </x:c>
      <x:c r="K468" s="44"/>
      <x:c r="L468" s="42" t="n">
        <x:v>0</x:v>
      </x:c>
      <x:c r="M468" s="44" t="n">
        <x:v>-961.84</x:v>
      </x:c>
      <x:c r="N468" s="41"/>
    </x:row>
    <x:row r="469" ht="15" hidden="0" customHeight="1">
      <x:c r="A469" s="43" t="str">
        <x:v>2026-03-08</x:v>
      </x:c>
      <x:c r="B469" s="39" t="str">
        <x:v>Referral</x:v>
      </x:c>
      <x:c r="C469" s="39" t="n">
        <x:v>3531</x:v>
      </x:c>
      <x:c r="D469" s="39" t="n">
        <x:v>311</x:v>
      </x:c>
      <x:c r="E469" s="39" t="n">
        <x:v>10</x:v>
      </x:c>
      <x:c r="F469" s="44" t="n">
        <x:v>438.91</x:v>
      </x:c>
      <x:c r="G469" s="44" t="n">
        <x:v>4796.4800000000005</x:v>
      </x:c>
      <x:c r="H469" s="39" t="n">
        <x:v>6</x:v>
      </x:c>
      <x:c r="I469" s="41" t="n">
        <x:v>0.08807703200226565</x:v>
      </x:c>
      <x:c r="J469" s="41" t="n">
        <x:v>0.03215434083601286</x:v>
      </x:c>
      <x:c r="K469" s="44" t="n">
        <x:v>43.891000000000005</x:v>
      </x:c>
      <x:c r="L469" s="42" t="n">
        <x:v>10.928162949123967</x:v>
      </x:c>
      <x:c r="M469" s="44" t="n">
        <x:v>4357.570000000001</x:v>
      </x:c>
      <x:c r="N469" s="41" t="n">
        <x:v>0.9084933117619588</x:v>
      </x:c>
    </x:row>
    <x:row r="470" ht="15" hidden="0" customHeight="1">
      <x:c r="A470" s="43" t="str">
        <x:v>2026-03-08</x:v>
      </x:c>
      <x:c r="B470" s="39" t="str">
        <x:v>SEO</x:v>
      </x:c>
      <x:c r="C470" s="39" t="n">
        <x:v>1614</x:v>
      </x:c>
      <x:c r="D470" s="39" t="n">
        <x:v>109</x:v>
      </x:c>
      <x:c r="E470" s="39" t="n">
        <x:v>1</x:v>
      </x:c>
      <x:c r="F470" s="44" t="n">
        <x:v>1154.06</x:v>
      </x:c>
      <x:c r="G470" s="44" t="n">
        <x:v>687.07</x:v>
      </x:c>
      <x:c r="H470" s="39" t="n">
        <x:v>6</x:v>
      </x:c>
      <x:c r="I470" s="41" t="n">
        <x:v>0.06753407682775713</x:v>
      </x:c>
      <x:c r="J470" s="41" t="n">
        <x:v>0.009174311926605505</x:v>
      </x:c>
      <x:c r="K470" s="44" t="n">
        <x:v>1154.06</x:v>
      </x:c>
      <x:c r="L470" s="42" t="n">
        <x:v>0.5953503284058022</x:v>
      </x:c>
      <x:c r="M470" s="44" t="n">
        <x:v>-466.9899999999999</x:v>
      </x:c>
      <x:c r="N470" s="41" t="n">
        <x:v>-0.6796832928231473</x:v>
      </x:c>
    </x:row>
    <x:row r="471" ht="15" hidden="0" customHeight="1">
      <x:c r="A471" s="43" t="str">
        <x:v>2026-03-09</x:v>
      </x:c>
      <x:c r="B471" s="39" t="str">
        <x:v>Content</x:v>
      </x:c>
      <x:c r="C471" s="39" t="n">
        <x:v>1923</x:v>
      </x:c>
      <x:c r="D471" s="39" t="n">
        <x:v>138</x:v>
      </x:c>
      <x:c r="E471" s="39" t="n">
        <x:v>2</x:v>
      </x:c>
      <x:c r="F471" s="44" t="n">
        <x:v>877.46</x:v>
      </x:c>
      <x:c r="G471" s="44" t="n">
        <x:v>633.66</x:v>
      </x:c>
      <x:c r="H471" s="39" t="n">
        <x:v>6</x:v>
      </x:c>
      <x:c r="I471" s="41" t="n">
        <x:v>0.0717628705148206</x:v>
      </x:c>
      <x:c r="J471" s="41" t="n">
        <x:v>0.014492753623188406</x:v>
      </x:c>
      <x:c r="K471" s="44" t="n">
        <x:v>438.73</x:v>
      </x:c>
      <x:c r="L471" s="42" t="n">
        <x:v>0.7221525767556355</x:v>
      </x:c>
      <x:c r="M471" s="44" t="n">
        <x:v>-243.80000000000007</x:v>
      </x:c>
      <x:c r="N471" s="41" t="n">
        <x:v>-0.3847489189786322</x:v>
      </x:c>
    </x:row>
    <x:row r="472" ht="15" hidden="0" customHeight="1">
      <x:c r="A472" s="43" t="str">
        <x:v>2026-03-09</x:v>
      </x:c>
      <x:c r="B472" s="39" t="str">
        <x:v>LinkedIn Ads</x:v>
      </x:c>
      <x:c r="C472" s="39" t="n">
        <x:v>2635</x:v>
      </x:c>
      <x:c r="D472" s="39" t="n">
        <x:v>133</x:v>
      </x:c>
      <x:c r="E472" s="39" t="n">
        <x:v>1</x:v>
      </x:c>
      <x:c r="F472" s="44" t="n">
        <x:v>1336.6</x:v>
      </x:c>
      <x:c r="G472" s="44" t="n">
        <x:v>359.77</x:v>
      </x:c>
      <x:c r="H472" s="39" t="n">
        <x:v>6</x:v>
      </x:c>
      <x:c r="I472" s="41" t="n">
        <x:v>0.05047438330170778</x:v>
      </x:c>
      <x:c r="J472" s="41" t="n">
        <x:v>0.007518796992481203</x:v>
      </x:c>
      <x:c r="K472" s="44" t="n">
        <x:v>1336.6</x:v>
      </x:c>
      <x:c r="L472" s="42" t="n">
        <x:v>0.26916803830614994</x:v>
      </x:c>
      <x:c r="M472" s="44" t="n">
        <x:v>-976.8299999999999</x:v>
      </x:c>
      <x:c r="N472" s="41" t="n">
        <x:v>-2.715151346693721</x:v>
      </x:c>
    </x:row>
    <x:row r="473" ht="15" hidden="0" customHeight="1">
      <x:c r="A473" s="43" t="str">
        <x:v>2026-03-09</x:v>
      </x:c>
      <x:c r="B473" s="39" t="str">
        <x:v>Outbound Sales</x:v>
      </x:c>
      <x:c r="C473" s="39" t="n">
        <x:v>2305</x:v>
      </x:c>
      <x:c r="D473" s="39" t="n">
        <x:v>51</x:v>
      </x:c>
      <x:c r="E473" s="39" t="n">
        <x:v>0</x:v>
      </x:c>
      <x:c r="F473" s="44" t="n">
        <x:v>936.6600000000001</x:v>
      </x:c>
      <x:c r="G473" s="44" t="n">
        <x:v>0</x:v>
      </x:c>
      <x:c r="H473" s="39" t="n">
        <x:v>6</x:v>
      </x:c>
      <x:c r="I473" s="41" t="n">
        <x:v>0.02212581344902386</x:v>
      </x:c>
      <x:c r="J473" s="41" t="n">
        <x:v>0</x:v>
      </x:c>
      <x:c r="K473" s="44"/>
      <x:c r="L473" s="42" t="n">
        <x:v>0</x:v>
      </x:c>
      <x:c r="M473" s="44" t="n">
        <x:v>-936.6600000000001</x:v>
      </x:c>
      <x:c r="N473" s="41"/>
    </x:row>
    <x:row r="474" ht="15" hidden="0" customHeight="1">
      <x:c r="A474" s="43" t="str">
        <x:v>2026-03-09</x:v>
      </x:c>
      <x:c r="B474" s="39" t="str">
        <x:v>Paid Search</x:v>
      </x:c>
      <x:c r="C474" s="39" t="n">
        <x:v>3053</x:v>
      </x:c>
      <x:c r="D474" s="39" t="n">
        <x:v>206</x:v>
      </x:c>
      <x:c r="E474" s="39" t="n">
        <x:v>3</x:v>
      </x:c>
      <x:c r="F474" s="44" t="n">
        <x:v>2253.08</x:v>
      </x:c>
      <x:c r="G474" s="44" t="n">
        <x:v>1067.99</x:v>
      </x:c>
      <x:c r="H474" s="39" t="n">
        <x:v>6</x:v>
      </x:c>
      <x:c r="I474" s="41" t="n">
        <x:v>0.0674746151326564</x:v>
      </x:c>
      <x:c r="J474" s="41" t="n">
        <x:v>0.014563106796116505</x:v>
      </x:c>
      <x:c r="K474" s="44" t="n">
        <x:v>751.0266666666666</x:v>
      </x:c>
      <x:c r="L474" s="42" t="n">
        <x:v>0.47401335061338257</x:v>
      </x:c>
      <x:c r="M474" s="44" t="n">
        <x:v>-1185.09</x:v>
      </x:c>
      <x:c r="N474" s="41" t="n">
        <x:v>-1.1096452213972041</x:v>
      </x:c>
    </x:row>
    <x:row r="475" ht="15" hidden="0" customHeight="1">
      <x:c r="A475" s="43" t="str">
        <x:v>2026-03-09</x:v>
      </x:c>
      <x:c r="B475" s="39" t="str">
        <x:v>Partnerships</x:v>
      </x:c>
      <x:c r="C475" s="39" t="n">
        <x:v>2542</x:v>
      </x:c>
      <x:c r="D475" s="39" t="n">
        <x:v>119</x:v>
      </x:c>
      <x:c r="E475" s="39" t="n">
        <x:v>1</x:v>
      </x:c>
      <x:c r="F475" s="44" t="n">
        <x:v>850.3199999999999</x:v>
      </x:c>
      <x:c r="G475" s="44" t="n">
        <x:v>287.69</x:v>
      </x:c>
      <x:c r="H475" s="39" t="n">
        <x:v>6</x:v>
      </x:c>
      <x:c r="I475" s="41" t="n">
        <x:v>0.04681353265145555</x:v>
      </x:c>
      <x:c r="J475" s="41" t="n">
        <x:v>0.008403361344537815</x:v>
      </x:c>
      <x:c r="K475" s="44" t="n">
        <x:v>850.3199999999999</x:v>
      </x:c>
      <x:c r="L475" s="42" t="n">
        <x:v>0.338331451688776</x:v>
      </x:c>
      <x:c r="M475" s="44" t="n">
        <x:v>-562.6299999999999</x:v>
      </x:c>
      <x:c r="N475" s="41" t="n">
        <x:v>-1.9556814626855292</x:v>
      </x:c>
    </x:row>
    <x:row r="476" ht="15" hidden="0" customHeight="1">
      <x:c r="A476" s="43" t="str">
        <x:v>2026-03-09</x:v>
      </x:c>
      <x:c r="B476" s="39" t="str">
        <x:v>Referral</x:v>
      </x:c>
      <x:c r="C476" s="39" t="n">
        <x:v>2484</x:v>
      </x:c>
      <x:c r="D476" s="39" t="n">
        <x:v>189</x:v>
      </x:c>
      <x:c r="E476" s="39" t="n">
        <x:v>5</x:v>
      </x:c>
      <x:c r="F476" s="44" t="n">
        <x:v>330.44</x:v>
      </x:c>
      <x:c r="G476" s="44" t="n">
        <x:v>2660.3</x:v>
      </x:c>
      <x:c r="H476" s="39" t="n">
        <x:v>6</x:v>
      </x:c>
      <x:c r="I476" s="41" t="n">
        <x:v>0.07608695652173914</x:v>
      </x:c>
      <x:c r="J476" s="41" t="n">
        <x:v>0.026455026455026454</x:v>
      </x:c>
      <x:c r="K476" s="44" t="n">
        <x:v>66.088</x:v>
      </x:c>
      <x:c r="L476" s="42" t="n">
        <x:v>8.050780777145624</x:v>
      </x:c>
      <x:c r="M476" s="44" t="n">
        <x:v>2329.86</x:v>
      </x:c>
      <x:c r="N476" s="41" t="n">
        <x:v>0.875788444912228</x:v>
      </x:c>
    </x:row>
    <x:row r="477" ht="15" hidden="0" customHeight="1">
      <x:c r="A477" s="43" t="str">
        <x:v>2026-03-09</x:v>
      </x:c>
      <x:c r="B477" s="39" t="str">
        <x:v>SEO</x:v>
      </x:c>
      <x:c r="C477" s="39" t="n">
        <x:v>1918</x:v>
      </x:c>
      <x:c r="D477" s="39" t="n">
        <x:v>134</x:v>
      </x:c>
      <x:c r="E477" s="39" t="n">
        <x:v>2</x:v>
      </x:c>
      <x:c r="F477" s="44" t="n">
        <x:v>1023.88</x:v>
      </x:c>
      <x:c r="G477" s="44" t="n">
        <x:v>552.9499999999999</x:v>
      </x:c>
      <x:c r="H477" s="39" t="n">
        <x:v>6</x:v>
      </x:c>
      <x:c r="I477" s="41" t="n">
        <x:v>0.06986444212721585</x:v>
      </x:c>
      <x:c r="J477" s="41" t="n">
        <x:v>0.014925373134328358</x:v>
      </x:c>
      <x:c r="K477" s="44" t="n">
        <x:v>511.94</x:v>
      </x:c>
      <x:c r="L477" s="42" t="n">
        <x:v>0.5400535218970972</x:v>
      </x:c>
      <x:c r="M477" s="44" t="n">
        <x:v>-470.93000000000006</x:v>
      </x:c>
      <x:c r="N477" s="41" t="n">
        <x:v>-0.8516683244416314</x:v>
      </x:c>
    </x:row>
    <x:row r="478" ht="15" hidden="0" customHeight="1">
      <x:c r="A478" s="43" t="str">
        <x:v>2026-03-10</x:v>
      </x:c>
      <x:c r="B478" s="39" t="str">
        <x:v>Content</x:v>
      </x:c>
      <x:c r="C478" s="39" t="n">
        <x:v>1998</x:v>
      </x:c>
      <x:c r="D478" s="39" t="n">
        <x:v>106</x:v>
      </x:c>
      <x:c r="E478" s="39" t="n">
        <x:v>1</x:v>
      </x:c>
      <x:c r="F478" s="44" t="n">
        <x:v>791.4200000000001</x:v>
      </x:c>
      <x:c r="G478" s="44" t="n">
        <x:v>350.94</x:v>
      </x:c>
      <x:c r="H478" s="39" t="n">
        <x:v>6</x:v>
      </x:c>
      <x:c r="I478" s="41" t="n">
        <x:v>0.05305305305305305</x:v>
      </x:c>
      <x:c r="J478" s="41" t="n">
        <x:v>0.009433962264150943</x:v>
      </x:c>
      <x:c r="K478" s="44" t="n">
        <x:v>791.4200000000001</x:v>
      </x:c>
      <x:c r="L478" s="42" t="n">
        <x:v>0.44343079527937124</x:v>
      </x:c>
      <x:c r="M478" s="44" t="n">
        <x:v>-440.4800000000001</x:v>
      </x:c>
      <x:c r="N478" s="41" t="n">
        <x:v>-1.2551433293440477</x:v>
      </x:c>
    </x:row>
    <x:row r="479" ht="15" hidden="0" customHeight="1">
      <x:c r="A479" s="43" t="str">
        <x:v>2026-03-10</x:v>
      </x:c>
      <x:c r="B479" s="39" t="str">
        <x:v>LinkedIn Ads</x:v>
      </x:c>
      <x:c r="C479" s="39" t="n">
        <x:v>2310</x:v>
      </x:c>
      <x:c r="D479" s="39" t="n">
        <x:v>144</x:v>
      </x:c>
      <x:c r="E479" s="39" t="n">
        <x:v>1</x:v>
      </x:c>
      <x:c r="F479" s="44" t="n">
        <x:v>1102.6</x:v>
      </x:c>
      <x:c r="G479" s="44" t="n">
        <x:v>369.43</x:v>
      </x:c>
      <x:c r="H479" s="39" t="n">
        <x:v>6</x:v>
      </x:c>
      <x:c r="I479" s="41" t="n">
        <x:v>0.06233766233766234</x:v>
      </x:c>
      <x:c r="J479" s="41" t="n">
        <x:v>0.006944444444444444</x:v>
      </x:c>
      <x:c r="K479" s="44" t="n">
        <x:v>1102.6</x:v>
      </x:c>
      <x:c r="L479" s="42" t="n">
        <x:v>0.3350535098857247</x:v>
      </x:c>
      <x:c r="M479" s="44" t="n">
        <x:v>-733.1699999999998</x:v>
      </x:c>
      <x:c r="N479" s="41" t="n">
        <x:v>-1.984597894053</x:v>
      </x:c>
    </x:row>
    <x:row r="480" ht="15" hidden="0" customHeight="1">
      <x:c r="A480" s="43" t="str">
        <x:v>2026-03-10</x:v>
      </x:c>
      <x:c r="B480" s="39" t="str">
        <x:v>Outbound Sales</x:v>
      </x:c>
      <x:c r="C480" s="39" t="n">
        <x:v>1684</x:v>
      </x:c>
      <x:c r="D480" s="39" t="n">
        <x:v>86</x:v>
      </x:c>
      <x:c r="E480" s="39" t="n">
        <x:v>0</x:v>
      </x:c>
      <x:c r="F480" s="44" t="n">
        <x:v>1025.93</x:v>
      </x:c>
      <x:c r="G480" s="44" t="n">
        <x:v>0</x:v>
      </x:c>
      <x:c r="H480" s="39" t="n">
        <x:v>6</x:v>
      </x:c>
      <x:c r="I480" s="41" t="n">
        <x:v>0.0510688836104513</x:v>
      </x:c>
      <x:c r="J480" s="41" t="n">
        <x:v>0</x:v>
      </x:c>
      <x:c r="K480" s="44"/>
      <x:c r="L480" s="42" t="n">
        <x:v>0</x:v>
      </x:c>
      <x:c r="M480" s="44" t="n">
        <x:v>-1025.93</x:v>
      </x:c>
      <x:c r="N480" s="41"/>
    </x:row>
    <x:row r="481" ht="15" hidden="0" customHeight="1">
      <x:c r="A481" s="43" t="str">
        <x:v>2026-03-10</x:v>
      </x:c>
      <x:c r="B481" s="39" t="str">
        <x:v>Paid Search</x:v>
      </x:c>
      <x:c r="C481" s="39" t="n">
        <x:v>2698</x:v>
      </x:c>
      <x:c r="D481" s="39" t="n">
        <x:v>159</x:v>
      </x:c>
      <x:c r="E481" s="39" t="n">
        <x:v>2</x:v>
      </x:c>
      <x:c r="F481" s="44" t="n">
        <x:v>1903.9299999999998</x:v>
      </x:c>
      <x:c r="G481" s="44" t="n">
        <x:v>956.99</x:v>
      </x:c>
      <x:c r="H481" s="39" t="n">
        <x:v>6</x:v>
      </x:c>
      <x:c r="I481" s="41" t="n">
        <x:v>0.05893254262416605</x:v>
      </x:c>
      <x:c r="J481" s="41" t="n">
        <x:v>0.012578616352201259</x:v>
      </x:c>
      <x:c r="K481" s="44" t="n">
        <x:v>951.9649999999999</x:v>
      </x:c>
      <x:c r="L481" s="42" t="n">
        <x:v>0.5026392777045375</x:v>
      </x:c>
      <x:c r="M481" s="44" t="n">
        <x:v>-946.9399999999998</x:v>
      </x:c>
      <x:c r="N481" s="41" t="n">
        <x:v>-0.9894983228664874</x:v>
      </x:c>
    </x:row>
    <x:row r="482" ht="15" hidden="0" customHeight="1">
      <x:c r="A482" s="43" t="str">
        <x:v>2026-03-10</x:v>
      </x:c>
      <x:c r="B482" s="39" t="str">
        <x:v>Partnerships</x:v>
      </x:c>
      <x:c r="C482" s="39" t="n">
        <x:v>2169</x:v>
      </x:c>
      <x:c r="D482" s="39" t="n">
        <x:v>136</x:v>
      </x:c>
      <x:c r="E482" s="39" t="n">
        <x:v>1</x:v>
      </x:c>
      <x:c r="F482" s="44" t="n">
        <x:v>785.85</x:v>
      </x:c>
      <x:c r="G482" s="44" t="n">
        <x:v>270.1</x:v>
      </x:c>
      <x:c r="H482" s="39" t="n">
        <x:v>6</x:v>
      </x:c>
      <x:c r="I482" s="41" t="n">
        <x:v>0.06270170585523283</x:v>
      </x:c>
      <x:c r="J482" s="41" t="n">
        <x:v>0.007352941176470588</x:v>
      </x:c>
      <x:c r="K482" s="44" t="n">
        <x:v>785.85</x:v>
      </x:c>
      <x:c r="L482" s="42" t="n">
        <x:v>0.34370426926258196</x:v>
      </x:c>
      <x:c r="M482" s="44" t="n">
        <x:v>-515.75</x:v>
      </x:c>
      <x:c r="N482" s="41" t="n">
        <x:v>-1.9094779711218066</x:v>
      </x:c>
    </x:row>
    <x:row r="483" ht="15" hidden="0" customHeight="1">
      <x:c r="A483" s="43" t="str">
        <x:v>2026-03-10</x:v>
      </x:c>
      <x:c r="B483" s="39" t="str">
        <x:v>Referral</x:v>
      </x:c>
      <x:c r="C483" s="39" t="n">
        <x:v>2769</x:v>
      </x:c>
      <x:c r="D483" s="39" t="n">
        <x:v>215</x:v>
      </x:c>
      <x:c r="E483" s="39" t="n">
        <x:v>6</x:v>
      </x:c>
      <x:c r="F483" s="44" t="n">
        <x:v>375.74</x:v>
      </x:c>
      <x:c r="G483" s="44" t="n">
        <x:v>3193.4700000000003</x:v>
      </x:c>
      <x:c r="H483" s="39" t="n">
        <x:v>6</x:v>
      </x:c>
      <x:c r="I483" s="41" t="n">
        <x:v>0.07764535933550018</x:v>
      </x:c>
      <x:c r="J483" s="41" t="n">
        <x:v>0.027906976744186046</x:v>
      </x:c>
      <x:c r="K483" s="44" t="n">
        <x:v>62.623333333333335</x:v>
      </x:c>
      <x:c r="L483" s="42" t="n">
        <x:v>8.499148347261405</x:v>
      </x:c>
      <x:c r="M483" s="44" t="n">
        <x:v>2817.7300000000005</x:v>
      </x:c>
      <x:c r="N483" s="41" t="n">
        <x:v>0.8823411524141452</x:v>
      </x:c>
    </x:row>
    <x:row r="484" ht="15" hidden="0" customHeight="1">
      <x:c r="A484" s="43" t="str">
        <x:v>2026-03-10</x:v>
      </x:c>
      <x:c r="B484" s="39" t="str">
        <x:v>SEO</x:v>
      </x:c>
      <x:c r="C484" s="39" t="n">
        <x:v>2639</x:v>
      </x:c>
      <x:c r="D484" s="39" t="n">
        <x:v>134</x:v>
      </x:c>
      <x:c r="E484" s="39" t="n">
        <x:v>2</x:v>
      </x:c>
      <x:c r="F484" s="44" t="n">
        <x:v>1049.2</x:v>
      </x:c>
      <x:c r="G484" s="44" t="n">
        <x:v>916.45</x:v>
      </x:c>
      <x:c r="H484" s="39" t="n">
        <x:v>6</x:v>
      </x:c>
      <x:c r="I484" s="41" t="n">
        <x:v>0.050776809397499054</x:v>
      </x:c>
      <x:c r="J484" s="41" t="n">
        <x:v>0.014925373134328358</x:v>
      </x:c>
      <x:c r="K484" s="44" t="n">
        <x:v>524.6</x:v>
      </x:c>
      <x:c r="L484" s="42" t="n">
        <x:v>0.8734750285932139</x:v>
      </x:c>
      <x:c r="M484" s="44" t="n">
        <x:v>-132.75</x:v>
      </x:c>
      <x:c r="N484" s="41" t="n">
        <x:v>-0.14485241966282938</x:v>
      </x:c>
    </x:row>
    <x:row r="485" ht="15" hidden="0" customHeight="1">
      <x:c r="A485" s="43" t="str">
        <x:v>2026-03-11</x:v>
      </x:c>
      <x:c r="B485" s="39" t="str">
        <x:v>Content</x:v>
      </x:c>
      <x:c r="C485" s="39" t="n">
        <x:v>2443</x:v>
      </x:c>
      <x:c r="D485" s="39" t="n">
        <x:v>91</x:v>
      </x:c>
      <x:c r="E485" s="39" t="n">
        <x:v>2</x:v>
      </x:c>
      <x:c r="F485" s="44" t="n">
        <x:v>1794.31</x:v>
      </x:c>
      <x:c r="G485" s="44" t="n">
        <x:v>846.96</x:v>
      </x:c>
      <x:c r="H485" s="39" t="n">
        <x:v>6</x:v>
      </x:c>
      <x:c r="I485" s="41" t="n">
        <x:v>0.03724928366762178</x:v>
      </x:c>
      <x:c r="J485" s="41" t="n">
        <x:v>0.02197802197802198</x:v>
      </x:c>
      <x:c r="K485" s="44" t="n">
        <x:v>897.155</x:v>
      </x:c>
      <x:c r="L485" s="42" t="n">
        <x:v>0.4720254582541479</x:v>
      </x:c>
      <x:c r="M485" s="44" t="n">
        <x:v>-947.3499999999999</x:v>
      </x:c>
      <x:c r="N485" s="41" t="n">
        <x:v>-1.1185298006989703</x:v>
      </x:c>
    </x:row>
    <x:row r="486" ht="15" hidden="0" customHeight="1">
      <x:c r="A486" s="43" t="str">
        <x:v>2026-03-11</x:v>
      </x:c>
      <x:c r="B486" s="39" t="str">
        <x:v>LinkedIn Ads</x:v>
      </x:c>
      <x:c r="C486" s="39" t="n">
        <x:v>3281</x:v>
      </x:c>
      <x:c r="D486" s="39" t="n">
        <x:v>304</x:v>
      </x:c>
      <x:c r="E486" s="39" t="n">
        <x:v>4</x:v>
      </x:c>
      <x:c r="F486" s="44" t="n">
        <x:v>2214.75</x:v>
      </x:c>
      <x:c r="G486" s="44" t="n">
        <x:v>1642.0700000000002</x:v>
      </x:c>
      <x:c r="H486" s="39" t="n">
        <x:v>6</x:v>
      </x:c>
      <x:c r="I486" s="41" t="n">
        <x:v>0.09265467845169156</x:v>
      </x:c>
      <x:c r="J486" s="41" t="n">
        <x:v>0.013157894736842105</x:v>
      </x:c>
      <x:c r="K486" s="44" t="n">
        <x:v>553.6875</x:v>
      </x:c>
      <x:c r="L486" s="42" t="n">
        <x:v>0.7414245400158032</x:v>
      </x:c>
      <x:c r="M486" s="44" t="n">
        <x:v>-572.6799999999998</x:v>
      </x:c>
      <x:c r="N486" s="41" t="n">
        <x:v>-0.3487549251858933</x:v>
      </x:c>
    </x:row>
    <x:row r="487" ht="15" hidden="0" customHeight="1">
      <x:c r="A487" s="43" t="str">
        <x:v>2026-03-11</x:v>
      </x:c>
      <x:c r="B487" s="39" t="str">
        <x:v>Outbound Sales</x:v>
      </x:c>
      <x:c r="C487" s="39" t="n">
        <x:v>3233</x:v>
      </x:c>
      <x:c r="D487" s="39" t="n">
        <x:v>211</x:v>
      </x:c>
      <x:c r="E487" s="39" t="n">
        <x:v>2</x:v>
      </x:c>
      <x:c r="F487" s="44" t="n">
        <x:v>2084.26</x:v>
      </x:c>
      <x:c r="G487" s="44" t="n">
        <x:v>1256.4099999999999</x:v>
      </x:c>
      <x:c r="H487" s="39" t="n">
        <x:v>6</x:v>
      </x:c>
      <x:c r="I487" s="41" t="n">
        <x:v>0.0652644602536344</x:v>
      </x:c>
      <x:c r="J487" s="41" t="n">
        <x:v>0.009478672985781991</x:v>
      </x:c>
      <x:c r="K487" s="44" t="n">
        <x:v>1042.13</x:v>
      </x:c>
      <x:c r="L487" s="42" t="n">
        <x:v>0.602808670703271</x:v>
      </x:c>
      <x:c r="M487" s="44" t="n">
        <x:v>-827.8500000000004</x:v>
      </x:c>
      <x:c r="N487" s="41" t="n">
        <x:v>-0.6589011548777871</x:v>
      </x:c>
    </x:row>
    <x:row r="488" ht="15" hidden="0" customHeight="1">
      <x:c r="A488" s="43" t="str">
        <x:v>2026-03-11</x:v>
      </x:c>
      <x:c r="B488" s="39" t="str">
        <x:v>Paid Search</x:v>
      </x:c>
      <x:c r="C488" s="39" t="n">
        <x:v>3608</x:v>
      </x:c>
      <x:c r="D488" s="39" t="n">
        <x:v>350</x:v>
      </x:c>
      <x:c r="E488" s="39" t="n">
        <x:v>5</x:v>
      </x:c>
      <x:c r="F488" s="44" t="n">
        <x:v>3427</x:v>
      </x:c>
      <x:c r="G488" s="44" t="n">
        <x:v>2350.54</x:v>
      </x:c>
      <x:c r="H488" s="39" t="n">
        <x:v>6</x:v>
      </x:c>
      <x:c r="I488" s="41" t="n">
        <x:v>0.09700665188470066</x:v>
      </x:c>
      <x:c r="J488" s="41" t="n">
        <x:v>0.014285714285714285</x:v>
      </x:c>
      <x:c r="K488" s="44" t="n">
        <x:v>685.4</x:v>
      </x:c>
      <x:c r="L488" s="42" t="n">
        <x:v>0.6858885322439451</x:v>
      </x:c>
      <x:c r="M488" s="44" t="n">
        <x:v>-1076.46</x:v>
      </x:c>
      <x:c r="N488" s="41" t="n">
        <x:v>-0.4579628510895369</x:v>
      </x:c>
    </x:row>
    <x:row r="489" ht="15" hidden="0" customHeight="1">
      <x:c r="A489" s="43" t="str">
        <x:v>2026-03-11</x:v>
      </x:c>
      <x:c r="B489" s="39" t="str">
        <x:v>Partnerships</x:v>
      </x:c>
      <x:c r="C489" s="39" t="n">
        <x:v>2817</x:v>
      </x:c>
      <x:c r="D489" s="39" t="n">
        <x:v>257</x:v>
      </x:c>
      <x:c r="E489" s="39" t="n">
        <x:v>4</x:v>
      </x:c>
      <x:c r="F489" s="44" t="n">
        <x:v>1673.95</x:v>
      </x:c>
      <x:c r="G489" s="44" t="n">
        <x:v>1576.49</x:v>
      </x:c>
      <x:c r="H489" s="39" t="n">
        <x:v>6</x:v>
      </x:c>
      <x:c r="I489" s="41" t="n">
        <x:v>0.09123180688675896</x:v>
      </x:c>
      <x:c r="J489" s="41" t="n">
        <x:v>0.01556420233463035</x:v>
      </x:c>
      <x:c r="K489" s="44" t="n">
        <x:v>418.4875</x:v>
      </x:c>
      <x:c r="L489" s="42" t="n">
        <x:v>0.9417784282684668</x:v>
      </x:c>
      <x:c r="M489" s="44" t="n">
        <x:v>-97.46000000000004</x:v>
      </x:c>
      <x:c r="N489" s="41" t="n">
        <x:v>-0.061820880563784125</x:v>
      </x:c>
    </x:row>
    <x:row r="490" ht="15" hidden="0" customHeight="1">
      <x:c r="A490" s="43" t="str">
        <x:v>2026-03-11</x:v>
      </x:c>
      <x:c r="B490" s="39" t="str">
        <x:v>Referral</x:v>
      </x:c>
      <x:c r="C490" s="39" t="n">
        <x:v>2389</x:v>
      </x:c>
      <x:c r="D490" s="39" t="n">
        <x:v>157</x:v>
      </x:c>
      <x:c r="E490" s="39" t="n">
        <x:v>3</x:v>
      </x:c>
      <x:c r="F490" s="44" t="n">
        <x:v>1089.29</x:v>
      </x:c>
      <x:c r="G490" s="44" t="n">
        <x:v>1960.47</x:v>
      </x:c>
      <x:c r="H490" s="39" t="n">
        <x:v>6</x:v>
      </x:c>
      <x:c r="I490" s="41" t="n">
        <x:v>0.06571787358727502</x:v>
      </x:c>
      <x:c r="J490" s="41" t="n">
        <x:v>0.01910828025477707</x:v>
      </x:c>
      <x:c r="K490" s="44" t="n">
        <x:v>363.09666666666664</x:v>
      </x:c>
      <x:c r="L490" s="42" t="n">
        <x:v>1.7997686566479083</x:v>
      </x:c>
      <x:c r="M490" s="44" t="n">
        <x:v>871.1800000000001</x:v>
      </x:c>
      <x:c r="N490" s="41" t="n">
        <x:v>0.4443730329971895</x:v>
      </x:c>
    </x:row>
    <x:row r="491" ht="15" hidden="0" customHeight="1">
      <x:c r="A491" s="43" t="str">
        <x:v>2026-03-11</x:v>
      </x:c>
      <x:c r="B491" s="39" t="str">
        <x:v>SEO</x:v>
      </x:c>
      <x:c r="C491" s="39" t="n">
        <x:v>2198</x:v>
      </x:c>
      <x:c r="D491" s="39" t="n">
        <x:v>195</x:v>
      </x:c>
      <x:c r="E491" s="39" t="n">
        <x:v>4</x:v>
      </x:c>
      <x:c r="F491" s="44" t="n">
        <x:v>2094.7400000000002</x:v>
      </x:c>
      <x:c r="G491" s="44" t="n">
        <x:v>1316.53</x:v>
      </x:c>
      <x:c r="H491" s="39" t="n">
        <x:v>6</x:v>
      </x:c>
      <x:c r="I491" s="41" t="n">
        <x:v>0.08871701546860783</x:v>
      </x:c>
      <x:c r="J491" s="41" t="n">
        <x:v>0.020512820512820513</x:v>
      </x:c>
      <x:c r="K491" s="44" t="n">
        <x:v>523.6850000000001</x:v>
      </x:c>
      <x:c r="L491" s="42" t="n">
        <x:v>0.6284932736282306</x:v>
      </x:c>
      <x:c r="M491" s="44" t="n">
        <x:v>-778.2100000000003</x:v>
      </x:c>
      <x:c r="N491" s="41" t="n">
        <x:v>-0.5911069250225975</x:v>
      </x:c>
    </x:row>
    <x:row r="492" ht="15" hidden="0" customHeight="1">
      <x:c r="A492" s="43" t="str">
        <x:v>2026-03-12</x:v>
      </x:c>
      <x:c r="B492" s="39" t="str">
        <x:v>Content</x:v>
      </x:c>
      <x:c r="C492" s="39" t="n">
        <x:v>1941</x:v>
      </x:c>
      <x:c r="D492" s="39" t="n">
        <x:v>90</x:v>
      </x:c>
      <x:c r="E492" s="39" t="n">
        <x:v>1</x:v>
      </x:c>
      <x:c r="F492" s="44" t="n">
        <x:v>1168.62</x:v>
      </x:c>
      <x:c r="G492" s="44" t="n">
        <x:v>230.63</x:v>
      </x:c>
      <x:c r="H492" s="39" t="n">
        <x:v>6</x:v>
      </x:c>
      <x:c r="I492" s="41" t="n">
        <x:v>0.04636785162287481</x:v>
      </x:c>
      <x:c r="J492" s="41" t="n">
        <x:v>0.011111111111111112</x:v>
      </x:c>
      <x:c r="K492" s="44" t="n">
        <x:v>1168.62</x:v>
      </x:c>
      <x:c r="L492" s="42" t="n">
        <x:v>0.19735243278396744</x:v>
      </x:c>
      <x:c r="M492" s="44" t="n">
        <x:v>-937.9899999999999</x:v>
      </x:c>
      <x:c r="N492" s="41" t="n">
        <x:v>-4.067077136539045</x:v>
      </x:c>
    </x:row>
    <x:row r="493" ht="15" hidden="0" customHeight="1">
      <x:c r="A493" s="43" t="str">
        <x:v>2026-03-12</x:v>
      </x:c>
      <x:c r="B493" s="39" t="str">
        <x:v>LinkedIn Ads</x:v>
      </x:c>
      <x:c r="C493" s="39" t="n">
        <x:v>2021</x:v>
      </x:c>
      <x:c r="D493" s="39" t="n">
        <x:v>93</x:v>
      </x:c>
      <x:c r="E493" s="39" t="n">
        <x:v>1</x:v>
      </x:c>
      <x:c r="F493" s="44" t="n">
        <x:v>1677.51</x:v>
      </x:c>
      <x:c r="G493" s="44" t="n">
        <x:v>318.5</x:v>
      </x:c>
      <x:c r="H493" s="39" t="n">
        <x:v>6</x:v>
      </x:c>
      <x:c r="I493" s="41" t="n">
        <x:v>0.04601682335477486</x:v>
      </x:c>
      <x:c r="J493" s="41" t="n">
        <x:v>0.010752688172043012</x:v>
      </x:c>
      <x:c r="K493" s="44" t="n">
        <x:v>1677.51</x:v>
      </x:c>
      <x:c r="L493" s="42" t="n">
        <x:v>0.18986474000154993</x:v>
      </x:c>
      <x:c r="M493" s="44" t="n">
        <x:v>-1359.01</x:v>
      </x:c>
      <x:c r="N493" s="41" t="n">
        <x:v>-4.26690737833595</x:v>
      </x:c>
    </x:row>
    <x:row r="494" ht="15" hidden="0" customHeight="1">
      <x:c r="A494" s="43" t="str">
        <x:v>2026-03-12</x:v>
      </x:c>
      <x:c r="B494" s="39" t="str">
        <x:v>Outbound Sales</x:v>
      </x:c>
      <x:c r="C494" s="39" t="n">
        <x:v>1490</x:v>
      </x:c>
      <x:c r="D494" s="39" t="n">
        <x:v>159</x:v>
      </x:c>
      <x:c r="E494" s="39" t="n">
        <x:v>1</x:v>
      </x:c>
      <x:c r="F494" s="44" t="n">
        <x:v>2019.51</x:v>
      </x:c>
      <x:c r="G494" s="44" t="n">
        <x:v>865.11</x:v>
      </x:c>
      <x:c r="H494" s="39" t="n">
        <x:v>6</x:v>
      </x:c>
      <x:c r="I494" s="41" t="n">
        <x:v>0.10671140939597315</x:v>
      </x:c>
      <x:c r="J494" s="41" t="n">
        <x:v>0.006289308176100629</x:v>
      </x:c>
      <x:c r="K494" s="44" t="n">
        <x:v>2019.51</x:v>
      </x:c>
      <x:c r="L494" s="42" t="n">
        <x:v>0.42837619026397494</x:v>
      </x:c>
      <x:c r="M494" s="44" t="n">
        <x:v>-1154.4</x:v>
      </x:c>
      <x:c r="N494" s="41" t="n">
        <x:v>-1.334396781912127</x:v>
      </x:c>
    </x:row>
    <x:row r="495" ht="15" hidden="0" customHeight="1">
      <x:c r="A495" s="43" t="str">
        <x:v>2026-03-12</x:v>
      </x:c>
      <x:c r="B495" s="39" t="str">
        <x:v>Paid Search</x:v>
      </x:c>
      <x:c r="C495" s="39" t="n">
        <x:v>3356</x:v>
      </x:c>
      <x:c r="D495" s="39" t="n">
        <x:v>308</x:v>
      </x:c>
      <x:c r="E495" s="39" t="n">
        <x:v>4</x:v>
      </x:c>
      <x:c r="F495" s="44" t="n">
        <x:v>2905.59</x:v>
      </x:c>
      <x:c r="G495" s="44" t="n">
        <x:v>2201.11</x:v>
      </x:c>
      <x:c r="H495" s="39" t="n">
        <x:v>6</x:v>
      </x:c>
      <x:c r="I495" s="41" t="n">
        <x:v>0.09177592371871275</x:v>
      </x:c>
      <x:c r="J495" s="41" t="n">
        <x:v>0.012987012987012988</x:v>
      </x:c>
      <x:c r="K495" s="44" t="n">
        <x:v>726.3975</x:v>
      </x:c>
      <x:c r="L495" s="42" t="n">
        <x:v>0.7575432184169136</x:v>
      </x:c>
      <x:c r="M495" s="44" t="n">
        <x:v>-704.48</x:v>
      </x:c>
      <x:c r="N495" s="41" t="n">
        <x:v>-0.3200566986656732</x:v>
      </x:c>
    </x:row>
    <x:row r="496" ht="15" hidden="0" customHeight="1">
      <x:c r="A496" s="43" t="str">
        <x:v>2026-03-12</x:v>
      </x:c>
      <x:c r="B496" s="39" t="str">
        <x:v>Partnerships</x:v>
      </x:c>
      <x:c r="C496" s="39" t="n">
        <x:v>2737</x:v>
      </x:c>
      <x:c r="D496" s="39" t="n">
        <x:v>199</x:v>
      </x:c>
      <x:c r="E496" s="39" t="n">
        <x:v>2</x:v>
      </x:c>
      <x:c r="F496" s="44" t="n">
        <x:v>1410.21</x:v>
      </x:c>
      <x:c r="G496" s="44" t="n">
        <x:v>895.51</x:v>
      </x:c>
      <x:c r="H496" s="39" t="n">
        <x:v>6</x:v>
      </x:c>
      <x:c r="I496" s="41" t="n">
        <x:v>0.07270734380708806</x:v>
      </x:c>
      <x:c r="J496" s="41" t="n">
        <x:v>0.010050251256281407</x:v>
      </x:c>
      <x:c r="K496" s="44" t="n">
        <x:v>705.105</x:v>
      </x:c>
      <x:c r="L496" s="42" t="n">
        <x:v>0.6350188978946398</x:v>
      </x:c>
      <x:c r="M496" s="44" t="n">
        <x:v>-514.7</x:v>
      </x:c>
      <x:c r="N496" s="41" t="n">
        <x:v>-0.5747562841285971</x:v>
      </x:c>
    </x:row>
    <x:row r="497" ht="15" hidden="0" customHeight="1">
      <x:c r="A497" s="43" t="str">
        <x:v>2026-03-12</x:v>
      </x:c>
      <x:c r="B497" s="39" t="str">
        <x:v>Referral</x:v>
      </x:c>
      <x:c r="C497" s="39" t="n">
        <x:v>2210</x:v>
      </x:c>
      <x:c r="D497" s="39" t="n">
        <x:v>207</x:v>
      </x:c>
      <x:c r="E497" s="39" t="n">
        <x:v>6</x:v>
      </x:c>
      <x:c r="F497" s="44" t="n">
        <x:v>621.11</x:v>
      </x:c>
      <x:c r="G497" s="44" t="n">
        <x:v>2916.15</x:v>
      </x:c>
      <x:c r="H497" s="39" t="n">
        <x:v>6</x:v>
      </x:c>
      <x:c r="I497" s="41" t="n">
        <x:v>0.09366515837104072</x:v>
      </x:c>
      <x:c r="J497" s="41" t="n">
        <x:v>0.028985507246376812</x:v>
      </x:c>
      <x:c r="K497" s="44" t="n">
        <x:v>103.51833333333333</x:v>
      </x:c>
      <x:c r="L497" s="42" t="n">
        <x:v>4.695062066300656</x:v>
      </x:c>
      <x:c r="M497" s="44" t="n">
        <x:v>2295.04</x:v>
      </x:c>
      <x:c r="N497" s="41" t="n">
        <x:v>0.7870102703907549</x:v>
      </x:c>
    </x:row>
    <x:row r="498" ht="15" hidden="0" customHeight="1">
      <x:c r="A498" s="43" t="str">
        <x:v>2026-03-12</x:v>
      </x:c>
      <x:c r="B498" s="39" t="str">
        <x:v>SEO</x:v>
      </x:c>
      <x:c r="C498" s="39" t="n">
        <x:v>2652</x:v>
      </x:c>
      <x:c r="D498" s="39" t="n">
        <x:v>104</x:v>
      </x:c>
      <x:c r="E498" s="39" t="n">
        <x:v>3</x:v>
      </x:c>
      <x:c r="F498" s="44" t="n">
        <x:v>1448.8400000000001</x:v>
      </x:c>
      <x:c r="G498" s="44" t="n">
        <x:v>1639.42</x:v>
      </x:c>
      <x:c r="H498" s="39" t="n">
        <x:v>6</x:v>
      </x:c>
      <x:c r="I498" s="41" t="n">
        <x:v>0.0392156862745098</x:v>
      </x:c>
      <x:c r="J498" s="41" t="n">
        <x:v>0.028846153846153848</x:v>
      </x:c>
      <x:c r="K498" s="44" t="n">
        <x:v>482.9466666666667</x:v>
      </x:c>
      <x:c r="L498" s="42" t="n">
        <x:v>1.1315397145302448</x:v>
      </x:c>
      <x:c r="M498" s="44" t="n">
        <x:v>190.57999999999993</x:v>
      </x:c>
      <x:c r="N498" s="41" t="n">
        <x:v>0.11624842932256525</x:v>
      </x:c>
    </x:row>
    <x:row r="499" ht="15" hidden="0" customHeight="1">
      <x:c r="A499" s="43" t="str">
        <x:v>2026-03-13</x:v>
      </x:c>
      <x:c r="B499" s="39" t="str">
        <x:v>Content</x:v>
      </x:c>
      <x:c r="C499" s="39" t="n">
        <x:v>2179</x:v>
      </x:c>
      <x:c r="D499" s="39" t="n">
        <x:v>91</x:v>
      </x:c>
      <x:c r="E499" s="39" t="n">
        <x:v>1</x:v>
      </x:c>
      <x:c r="F499" s="44" t="n">
        <x:v>1241.6200000000001</x:v>
      </x:c>
      <x:c r="G499" s="44" t="n">
        <x:v>334.48</x:v>
      </x:c>
      <x:c r="H499" s="39" t="n">
        <x:v>6</x:v>
      </x:c>
      <x:c r="I499" s="41" t="n">
        <x:v>0.041762276273519965</x:v>
      </x:c>
      <x:c r="J499" s="41" t="n">
        <x:v>0.01098901098901099</x:v>
      </x:c>
      <x:c r="K499" s="44" t="n">
        <x:v>1241.6200000000001</x:v>
      </x:c>
      <x:c r="L499" s="42" t="n">
        <x:v>0.2693899904962871</x:v>
      </x:c>
      <x:c r="M499" s="44" t="n">
        <x:v>-907.1400000000001</x:v>
      </x:c>
      <x:c r="N499" s="41" t="n">
        <x:v>-2.712090408993064</x:v>
      </x:c>
    </x:row>
    <x:row r="500" ht="15" hidden="0" customHeight="1">
      <x:c r="A500" s="43" t="str">
        <x:v>2026-03-13</x:v>
      </x:c>
      <x:c r="B500" s="39" t="str">
        <x:v>LinkedIn Ads</x:v>
      </x:c>
      <x:c r="C500" s="39" t="n">
        <x:v>2364</x:v>
      </x:c>
      <x:c r="D500" s="39" t="n">
        <x:v>142</x:v>
      </x:c>
      <x:c r="E500" s="39" t="n">
        <x:v>1</x:v>
      </x:c>
      <x:c r="F500" s="44" t="n">
        <x:v>1905.6499999999999</x:v>
      </x:c>
      <x:c r="G500" s="44" t="n">
        <x:v>744.82</x:v>
      </x:c>
      <x:c r="H500" s="39" t="n">
        <x:v>6</x:v>
      </x:c>
      <x:c r="I500" s="41" t="n">
        <x:v>0.06006768189509306</x:v>
      </x:c>
      <x:c r="J500" s="41" t="n">
        <x:v>0.007042253521126761</x:v>
      </x:c>
      <x:c r="K500" s="44" t="n">
        <x:v>1905.6499999999999</x:v>
      </x:c>
      <x:c r="L500" s="42" t="n">
        <x:v>0.3908482669955134</x:v>
      </x:c>
      <x:c r="M500" s="44" t="n">
        <x:v>-1160.83</x:v>
      </x:c>
      <x:c r="N500" s="41" t="n">
        <x:v>-1.5585376332536718</x:v>
      </x:c>
    </x:row>
    <x:row r="501" ht="15" hidden="0" customHeight="1">
      <x:c r="A501" s="43" t="str">
        <x:v>2026-03-13</x:v>
      </x:c>
      <x:c r="B501" s="39" t="str">
        <x:v>Outbound Sales</x:v>
      </x:c>
      <x:c r="C501" s="39" t="n">
        <x:v>2843</x:v>
      </x:c>
      <x:c r="D501" s="39" t="n">
        <x:v>274</x:v>
      </x:c>
      <x:c r="E501" s="39" t="n">
        <x:v>2</x:v>
      </x:c>
      <x:c r="F501" s="44" t="n">
        <x:v>1759.54</x:v>
      </x:c>
      <x:c r="G501" s="44" t="n">
        <x:v>1456.56</x:v>
      </x:c>
      <x:c r="H501" s="39" t="n">
        <x:v>6</x:v>
      </x:c>
      <x:c r="I501" s="41" t="n">
        <x:v>0.0963770664790714</x:v>
      </x:c>
      <x:c r="J501" s="41" t="n">
        <x:v>0.0072992700729927005</x:v>
      </x:c>
      <x:c r="K501" s="44" t="n">
        <x:v>879.77</x:v>
      </x:c>
      <x:c r="L501" s="42" t="n">
        <x:v>0.8278072678086318</x:v>
      </x:c>
      <x:c r="M501" s="44" t="n">
        <x:v>-302.98</x:v>
      </x:c>
      <x:c r="N501" s="41" t="n">
        <x:v>-0.20801065524248918</x:v>
      </x:c>
    </x:row>
    <x:row r="502" ht="15" hidden="0" customHeight="1">
      <x:c r="A502" s="43" t="str">
        <x:v>2026-03-13</x:v>
      </x:c>
      <x:c r="B502" s="39" t="str">
        <x:v>Paid Search</x:v>
      </x:c>
      <x:c r="C502" s="39" t="n">
        <x:v>3015</x:v>
      </x:c>
      <x:c r="D502" s="39" t="n">
        <x:v>257</x:v>
      </x:c>
      <x:c r="E502" s="39" t="n">
        <x:v>4</x:v>
      </x:c>
      <x:c r="F502" s="44" t="n">
        <x:v>3356.79</x:v>
      </x:c>
      <x:c r="G502" s="44" t="n">
        <x:v>2383.2200000000003</x:v>
      </x:c>
      <x:c r="H502" s="39" t="n">
        <x:v>6</x:v>
      </x:c>
      <x:c r="I502" s="41" t="n">
        <x:v>0.08524046434494195</x:v>
      </x:c>
      <x:c r="J502" s="41" t="n">
        <x:v>0.01556420233463035</x:v>
      </x:c>
      <x:c r="K502" s="44" t="n">
        <x:v>839.1975</x:v>
      </x:c>
      <x:c r="L502" s="42" t="n">
        <x:v>0.7099699415215132</x:v>
      </x:c>
      <x:c r="M502" s="44" t="n">
        <x:v>-973.5699999999997</x:v>
      </x:c>
      <x:c r="N502" s="41" t="n">
        <x:v>-0.4085103347571771</x:v>
      </x:c>
    </x:row>
    <x:row r="503" ht="15" hidden="0" customHeight="1">
      <x:c r="A503" s="43" t="str">
        <x:v>2026-03-13</x:v>
      </x:c>
      <x:c r="B503" s="39" t="str">
        <x:v>Partnerships</x:v>
      </x:c>
      <x:c r="C503" s="39" t="n">
        <x:v>3242</x:v>
      </x:c>
      <x:c r="D503" s="39" t="n">
        <x:v>203</x:v>
      </x:c>
      <x:c r="E503" s="39" t="n">
        <x:v>1</x:v>
      </x:c>
      <x:c r="F503" s="44" t="n">
        <x:v>1362.07</x:v>
      </x:c>
      <x:c r="G503" s="44" t="n">
        <x:v>875.51</x:v>
      </x:c>
      <x:c r="H503" s="39" t="n">
        <x:v>6</x:v>
      </x:c>
      <x:c r="I503" s="41" t="n">
        <x:v>0.06261566933991364</x:v>
      </x:c>
      <x:c r="J503" s="41" t="n">
        <x:v>0.0049261083743842365</x:v>
      </x:c>
      <x:c r="K503" s="44" t="n">
        <x:v>1362.07</x:v>
      </x:c>
      <x:c r="L503" s="42" t="n">
        <x:v>0.6427790054842997</x:v>
      </x:c>
      <x:c r="M503" s="44" t="n">
        <x:v>-486.55999999999995</x:v>
      </x:c>
      <x:c r="N503" s="41" t="n">
        <x:v>-0.55574465168873</x:v>
      </x:c>
    </x:row>
    <x:row r="504" ht="15" hidden="0" customHeight="1">
      <x:c r="A504" s="43" t="str">
        <x:v>2026-03-13</x:v>
      </x:c>
      <x:c r="B504" s="39" t="str">
        <x:v>Referral</x:v>
      </x:c>
      <x:c r="C504" s="39" t="n">
        <x:v>2857</x:v>
      </x:c>
      <x:c r="D504" s="39" t="n">
        <x:v>298</x:v>
      </x:c>
      <x:c r="E504" s="39" t="n">
        <x:v>8</x:v>
      </x:c>
      <x:c r="F504" s="44" t="n">
        <x:v>562.02</x:v>
      </x:c>
      <x:c r="G504" s="44" t="n">
        <x:v>3705.2</x:v>
      </x:c>
      <x:c r="H504" s="39" t="n">
        <x:v>6</x:v>
      </x:c>
      <x:c r="I504" s="41" t="n">
        <x:v>0.10430521526076304</x:v>
      </x:c>
      <x:c r="J504" s="41" t="n">
        <x:v>0.026845637583892617</x:v>
      </x:c>
      <x:c r="K504" s="44" t="n">
        <x:v>70.2525</x:v>
      </x:c>
      <x:c r="L504" s="42" t="n">
        <x:v>6.592647948471584</x:v>
      </x:c>
      <x:c r="M504" s="44" t="n">
        <x:v>3143.18</x:v>
      </x:c>
      <x:c r="N504" s="41" t="n">
        <x:v>0.8483158803843247</x:v>
      </x:c>
    </x:row>
    <x:row r="505" ht="15" hidden="0" customHeight="1">
      <x:c r="A505" s="43" t="str">
        <x:v>2026-03-13</x:v>
      </x:c>
      <x:c r="B505" s="39" t="str">
        <x:v>SEO</x:v>
      </x:c>
      <x:c r="C505" s="39" t="n">
        <x:v>1569</x:v>
      </x:c>
      <x:c r="D505" s="39" t="n">
        <x:v>95</x:v>
      </x:c>
      <x:c r="E505" s="39" t="n">
        <x:v>1</x:v>
      </x:c>
      <x:c r="F505" s="44" t="n">
        <x:v>1485.4</x:v>
      </x:c>
      <x:c r="G505" s="44" t="n">
        <x:v>647.64</x:v>
      </x:c>
      <x:c r="H505" s="39" t="n">
        <x:v>6</x:v>
      </x:c>
      <x:c r="I505" s="41" t="n">
        <x:v>0.06054811982154239</x:v>
      </x:c>
      <x:c r="J505" s="41" t="n">
        <x:v>0.010526315789473684</x:v>
      </x:c>
      <x:c r="K505" s="44" t="n">
        <x:v>1485.4</x:v>
      </x:c>
      <x:c r="L505" s="42" t="n">
        <x:v>0.4360037700282752</x:v>
      </x:c>
      <x:c r="M505" s="44" t="n">
        <x:v>-837.7600000000001</x:v>
      </x:c>
      <x:c r="N505" s="41" t="n">
        <x:v>-1.2935581495892783</x:v>
      </x:c>
    </x:row>
    <x:row r="506" ht="15" hidden="0" customHeight="1">
      <x:c r="A506" s="43" t="str">
        <x:v>2026-03-14</x:v>
      </x:c>
      <x:c r="B506" s="39" t="str">
        <x:v>Content</x:v>
      </x:c>
      <x:c r="C506" s="39" t="n">
        <x:v>2014</x:v>
      </x:c>
      <x:c r="D506" s="39" t="n">
        <x:v>124</x:v>
      </x:c>
      <x:c r="E506" s="39" t="n">
        <x:v>2</x:v>
      </x:c>
      <x:c r="F506" s="44" t="n">
        <x:v>1342.41</x:v>
      </x:c>
      <x:c r="G506" s="44" t="n">
        <x:v>844.0799999999999</x:v>
      </x:c>
      <x:c r="H506" s="39" t="n">
        <x:v>6</x:v>
      </x:c>
      <x:c r="I506" s="41" t="n">
        <x:v>0.06156901688182721</x:v>
      </x:c>
      <x:c r="J506" s="41" t="n">
        <x:v>0.016129032258064516</x:v>
      </x:c>
      <x:c r="K506" s="44" t="n">
        <x:v>671.205</x:v>
      </x:c>
      <x:c r="L506" s="42" t="n">
        <x:v>0.6287795829888037</x:v>
      </x:c>
      <x:c r="M506" s="44" t="n">
        <x:v>-498.33000000000015</x:v>
      </x:c>
      <x:c r="N506" s="41" t="n">
        <x:v>-0.5903824282058575</x:v>
      </x:c>
    </x:row>
    <x:row r="507" ht="15" hidden="0" customHeight="1">
      <x:c r="A507" s="43" t="str">
        <x:v>2026-03-14</x:v>
      </x:c>
      <x:c r="B507" s="39" t="str">
        <x:v>LinkedIn Ads</x:v>
      </x:c>
      <x:c r="C507" s="39" t="n">
        <x:v>1724</x:v>
      </x:c>
      <x:c r="D507" s="39" t="n">
        <x:v>57</x:v>
      </x:c>
      <x:c r="E507" s="39" t="n">
        <x:v>0</x:v>
      </x:c>
      <x:c r="F507" s="44" t="n">
        <x:v>1645.74</x:v>
      </x:c>
      <x:c r="G507" s="44" t="n">
        <x:v>0</x:v>
      </x:c>
      <x:c r="H507" s="39" t="n">
        <x:v>6</x:v>
      </x:c>
      <x:c r="I507" s="41" t="n">
        <x:v>0.03306264501160093</x:v>
      </x:c>
      <x:c r="J507" s="41" t="n">
        <x:v>0</x:v>
      </x:c>
      <x:c r="K507" s="44"/>
      <x:c r="L507" s="42" t="n">
        <x:v>0</x:v>
      </x:c>
      <x:c r="M507" s="44" t="n">
        <x:v>-1645.74</x:v>
      </x:c>
      <x:c r="N507" s="41"/>
    </x:row>
    <x:row r="508" ht="15" hidden="0" customHeight="1">
      <x:c r="A508" s="43" t="str">
        <x:v>2026-03-14</x:v>
      </x:c>
      <x:c r="B508" s="39" t="str">
        <x:v>Outbound Sales</x:v>
      </x:c>
      <x:c r="C508" s="39" t="n">
        <x:v>2757</x:v>
      </x:c>
      <x:c r="D508" s="39" t="n">
        <x:v>179</x:v>
      </x:c>
      <x:c r="E508" s="39" t="n">
        <x:v>2</x:v>
      </x:c>
      <x:c r="F508" s="44" t="n">
        <x:v>1814.45</x:v>
      </x:c>
      <x:c r="G508" s="44" t="n">
        <x:v>1434.74</x:v>
      </x:c>
      <x:c r="H508" s="39" t="n">
        <x:v>6</x:v>
      </x:c>
      <x:c r="I508" s="41" t="n">
        <x:v>0.06492564381574174</x:v>
      </x:c>
      <x:c r="J508" s="41" t="n">
        <x:v>0.0111731843575419</x:v>
      </x:c>
      <x:c r="K508" s="44" t="n">
        <x:v>907.225</x:v>
      </x:c>
      <x:c r="L508" s="42" t="n">
        <x:v>0.7907299732701369</x:v>
      </x:c>
      <x:c r="M508" s="44" t="n">
        <x:v>-379.71000000000004</x:v>
      </x:c>
      <x:c r="N508" s="41" t="n">
        <x:v>-0.2646542230648062</x:v>
      </x:c>
    </x:row>
    <x:row r="509" ht="15" hidden="0" customHeight="1">
      <x:c r="A509" s="43" t="str">
        <x:v>2026-03-14</x:v>
      </x:c>
      <x:c r="B509" s="39" t="str">
        <x:v>Paid Search</x:v>
      </x:c>
      <x:c r="C509" s="39" t="n">
        <x:v>2733</x:v>
      </x:c>
      <x:c r="D509" s="39" t="n">
        <x:v>231</x:v>
      </x:c>
      <x:c r="E509" s="39" t="n">
        <x:v>3</x:v>
      </x:c>
      <x:c r="F509" s="44" t="n">
        <x:v>2800.2</x:v>
      </x:c>
      <x:c r="G509" s="44" t="n">
        <x:v>1470.23</x:v>
      </x:c>
      <x:c r="H509" s="39" t="n">
        <x:v>6</x:v>
      </x:c>
      <x:c r="I509" s="41" t="n">
        <x:v>0.0845225027442371</x:v>
      </x:c>
      <x:c r="J509" s="41" t="n">
        <x:v>0.012987012987012988</x:v>
      </x:c>
      <x:c r="K509" s="44" t="n">
        <x:v>933.4</x:v>
      </x:c>
      <x:c r="L509" s="42" t="n">
        <x:v>0.5250446396685952</x:v>
      </x:c>
      <x:c r="M509" s="44" t="n">
        <x:v>-1329.9699999999998</x:v>
      </x:c>
      <x:c r="N509" s="41" t="n">
        <x:v>-0.9045999605503899</x:v>
      </x:c>
    </x:row>
    <x:row r="510" ht="15" hidden="0" customHeight="1">
      <x:c r="A510" s="43" t="str">
        <x:v>2026-03-14</x:v>
      </x:c>
      <x:c r="B510" s="39" t="str">
        <x:v>Partnerships</x:v>
      </x:c>
      <x:c r="C510" s="39" t="n">
        <x:v>2564</x:v>
      </x:c>
      <x:c r="D510" s="39" t="n">
        <x:v>121</x:v>
      </x:c>
      <x:c r="E510" s="39" t="n">
        <x:v>1</x:v>
      </x:c>
      <x:c r="F510" s="44" t="n">
        <x:v>1298.82</x:v>
      </x:c>
      <x:c r="G510" s="44" t="n">
        <x:v>726.1</x:v>
      </x:c>
      <x:c r="H510" s="39" t="n">
        <x:v>6</x:v>
      </x:c>
      <x:c r="I510" s="41" t="n">
        <x:v>0.04719188767550702</x:v>
      </x:c>
      <x:c r="J510" s="41" t="n">
        <x:v>0.008264462809917356</x:v>
      </x:c>
      <x:c r="K510" s="44" t="n">
        <x:v>1298.82</x:v>
      </x:c>
      <x:c r="L510" s="42" t="n">
        <x:v>0.5590459032044471</x:v>
      </x:c>
      <x:c r="M510" s="44" t="n">
        <x:v>-572.7199999999999</x:v>
      </x:c>
      <x:c r="N510" s="41" t="n">
        <x:v>-0.788761878529128</x:v>
      </x:c>
    </x:row>
    <x:row r="511" ht="15" hidden="0" customHeight="1">
      <x:c r="A511" s="43" t="str">
        <x:v>2026-03-14</x:v>
      </x:c>
      <x:c r="B511" s="39" t="str">
        <x:v>Referral</x:v>
      </x:c>
      <x:c r="C511" s="39" t="n">
        <x:v>2853</x:v>
      </x:c>
      <x:c r="D511" s="39" t="n">
        <x:v>243</x:v>
      </x:c>
      <x:c r="E511" s="39" t="n">
        <x:v>7</x:v>
      </x:c>
      <x:c r="F511" s="44" t="n">
        <x:v>854.95</x:v>
      </x:c>
      <x:c r="G511" s="44" t="n">
        <x:v>3544.36</x:v>
      </x:c>
      <x:c r="H511" s="39" t="n">
        <x:v>6</x:v>
      </x:c>
      <x:c r="I511" s="41" t="n">
        <x:v>0.08517350157728706</x:v>
      </x:c>
      <x:c r="J511" s="41" t="n">
        <x:v>0.02880658436213992</x:v>
      </x:c>
      <x:c r="K511" s="44" t="n">
        <x:v>122.13571428571429</x:v>
      </x:c>
      <x:c r="L511" s="42" t="n">
        <x:v>4.145692730569039</x:v>
      </x:c>
      <x:c r="M511" s="44" t="n">
        <x:v>2689.41</x:v>
      </x:c>
      <x:c r="N511" s="41" t="n">
        <x:v>0.7587857892539132</x:v>
      </x:c>
    </x:row>
    <x:row r="512" ht="15" hidden="0" customHeight="1">
      <x:c r="A512" s="43" t="str">
        <x:v>2026-03-14</x:v>
      </x:c>
      <x:c r="B512" s="39" t="str">
        <x:v>SEO</x:v>
      </x:c>
      <x:c r="C512" s="39" t="n">
        <x:v>2422</x:v>
      </x:c>
      <x:c r="D512" s="39" t="n">
        <x:v>154</x:v>
      </x:c>
      <x:c r="E512" s="39" t="n">
        <x:v>3</x:v>
      </x:c>
      <x:c r="F512" s="44" t="n">
        <x:v>1667.96</x:v>
      </x:c>
      <x:c r="G512" s="44" t="n">
        <x:v>1317.27</x:v>
      </x:c>
      <x:c r="H512" s="39" t="n">
        <x:v>6</x:v>
      </x:c>
      <x:c r="I512" s="41" t="n">
        <x:v>0.06358381502890173</x:v>
      </x:c>
      <x:c r="J512" s="41" t="n">
        <x:v>0.01948051948051948</x:v>
      </x:c>
      <x:c r="K512" s="44" t="n">
        <x:v>555.9866666666667</x:v>
      </x:c>
      <x:c r="L512" s="42" t="n">
        <x:v>0.7897491546559869</x:v>
      </x:c>
      <x:c r="M512" s="44" t="n">
        <x:v>-350.69000000000005</x:v>
      </x:c>
      <x:c r="N512" s="41" t="n">
        <x:v>-0.2662248438057498</x:v>
      </x:c>
    </x:row>
    <x:row r="513" ht="15" hidden="0" customHeight="1">
      <x:c r="A513" s="43" t="str">
        <x:v>2026-03-15</x:v>
      </x:c>
      <x:c r="B513" s="39" t="str">
        <x:v>Content</x:v>
      </x:c>
      <x:c r="C513" s="39" t="n">
        <x:v>2788</x:v>
      </x:c>
      <x:c r="D513" s="39" t="n">
        <x:v>97</x:v>
      </x:c>
      <x:c r="E513" s="39" t="n">
        <x:v>1</x:v>
      </x:c>
      <x:c r="F513" s="44" t="n">
        <x:v>866.0500000000001</x:v>
      </x:c>
      <x:c r="G513" s="44" t="n">
        <x:v>666.86</x:v>
      </x:c>
      <x:c r="H513" s="39" t="n">
        <x:v>6</x:v>
      </x:c>
      <x:c r="I513" s="41" t="n">
        <x:v>0.03479196556671449</x:v>
      </x:c>
      <x:c r="J513" s="41" t="n">
        <x:v>0.010309278350515464</x:v>
      </x:c>
      <x:c r="K513" s="44" t="n">
        <x:v>866.0500000000001</x:v>
      </x:c>
      <x:c r="L513" s="42" t="n">
        <x:v>0.7700017320016165</x:v>
      </x:c>
      <x:c r="M513" s="44" t="n">
        <x:v>-199.19000000000005</x:v>
      </x:c>
      <x:c r="N513" s="41" t="n">
        <x:v>-0.2986983774705336</x:v>
      </x:c>
    </x:row>
    <x:row r="514" ht="15" hidden="0" customHeight="1">
      <x:c r="A514" s="43" t="str">
        <x:v>2026-03-15</x:v>
      </x:c>
      <x:c r="B514" s="39" t="str">
        <x:v>LinkedIn Ads</x:v>
      </x:c>
      <x:c r="C514" s="39" t="n">
        <x:v>1606</x:v>
      </x:c>
      <x:c r="D514" s="39" t="n">
        <x:v>88</x:v>
      </x:c>
      <x:c r="E514" s="39" t="n">
        <x:v>1</x:v>
      </x:c>
      <x:c r="F514" s="44" t="n">
        <x:v>1550.02</x:v>
      </x:c>
      <x:c r="G514" s="44" t="n">
        <x:v>594.64</x:v>
      </x:c>
      <x:c r="H514" s="39" t="n">
        <x:v>6</x:v>
      </x:c>
      <x:c r="I514" s="41" t="n">
        <x:v>0.0547945205479452</x:v>
      </x:c>
      <x:c r="J514" s="41" t="n">
        <x:v>0.011363636363636364</x:v>
      </x:c>
      <x:c r="K514" s="44" t="n">
        <x:v>1550.02</x:v>
      </x:c>
      <x:c r="L514" s="42" t="n">
        <x:v>0.3836337595643927</x:v>
      </x:c>
      <x:c r="M514" s="44" t="n">
        <x:v>-955.38</x:v>
      </x:c>
      <x:c r="N514" s="41" t="n">
        <x:v>-1.6066527646979685</x:v>
      </x:c>
    </x:row>
    <x:row r="515" ht="15" hidden="0" customHeight="1">
      <x:c r="A515" s="43" t="str">
        <x:v>2026-03-15</x:v>
      </x:c>
      <x:c r="B515" s="39" t="str">
        <x:v>Outbound Sales</x:v>
      </x:c>
      <x:c r="C515" s="39" t="n">
        <x:v>1846</x:v>
      </x:c>
      <x:c r="D515" s="39" t="n">
        <x:v>68</x:v>
      </x:c>
      <x:c r="E515" s="39" t="n">
        <x:v>0</x:v>
      </x:c>
      <x:c r="F515" s="44" t="n">
        <x:v>917.9599999999999</x:v>
      </x:c>
      <x:c r="G515" s="44" t="n">
        <x:v>0</x:v>
      </x:c>
      <x:c r="H515" s="39" t="n">
        <x:v>6</x:v>
      </x:c>
      <x:c r="I515" s="41" t="n">
        <x:v>0.03683640303358613</x:v>
      </x:c>
      <x:c r="J515" s="41" t="n">
        <x:v>0</x:v>
      </x:c>
      <x:c r="K515" s="44"/>
      <x:c r="L515" s="42" t="n">
        <x:v>0</x:v>
      </x:c>
      <x:c r="M515" s="44" t="n">
        <x:v>-917.9599999999999</x:v>
      </x:c>
      <x:c r="N515" s="41"/>
    </x:row>
    <x:row r="516" ht="15" hidden="0" customHeight="1">
      <x:c r="A516" s="43" t="str">
        <x:v>2026-03-15</x:v>
      </x:c>
      <x:c r="B516" s="39" t="str">
        <x:v>Paid Search</x:v>
      </x:c>
      <x:c r="C516" s="39" t="n">
        <x:v>3032</x:v>
      </x:c>
      <x:c r="D516" s="39" t="n">
        <x:v>215</x:v>
      </x:c>
      <x:c r="E516" s="39" t="n">
        <x:v>2</x:v>
      </x:c>
      <x:c r="F516" s="44" t="n">
        <x:v>2725.9700000000003</x:v>
      </x:c>
      <x:c r="G516" s="44" t="n">
        <x:v>1478.71</x:v>
      </x:c>
      <x:c r="H516" s="39" t="n">
        <x:v>6</x:v>
      </x:c>
      <x:c r="I516" s="41" t="n">
        <x:v>0.07091029023746702</x:v>
      </x:c>
      <x:c r="J516" s="41" t="n">
        <x:v>0.009302325581395349</x:v>
      </x:c>
      <x:c r="K516" s="44" t="n">
        <x:v>1362.9850000000001</x:v>
      </x:c>
      <x:c r="L516" s="42" t="n">
        <x:v>0.5424527782770904</x:v>
      </x:c>
      <x:c r="M516" s="44" t="n">
        <x:v>-1247.2600000000002</x:v>
      </x:c>
      <x:c r="N516" s="41" t="n">
        <x:v>-0.8434784372865539</x:v>
      </x:c>
    </x:row>
    <x:row r="517" ht="15" hidden="0" customHeight="1">
      <x:c r="A517" s="43" t="str">
        <x:v>2026-03-15</x:v>
      </x:c>
      <x:c r="B517" s="39" t="str">
        <x:v>Partnerships</x:v>
      </x:c>
      <x:c r="C517" s="39" t="n">
        <x:v>1627</x:v>
      </x:c>
      <x:c r="D517" s="39" t="n">
        <x:v>77</x:v>
      </x:c>
      <x:c r="E517" s="39" t="n">
        <x:v>0</x:v>
      </x:c>
      <x:c r="F517" s="44" t="n">
        <x:v>895.15</x:v>
      </x:c>
      <x:c r="G517" s="44" t="n">
        <x:v>0</x:v>
      </x:c>
      <x:c r="H517" s="39" t="n">
        <x:v>6</x:v>
      </x:c>
      <x:c r="I517" s="41" t="n">
        <x:v>0.04732636754763368</x:v>
      </x:c>
      <x:c r="J517" s="41" t="n">
        <x:v>0</x:v>
      </x:c>
      <x:c r="K517" s="44"/>
      <x:c r="L517" s="42" t="n">
        <x:v>0</x:v>
      </x:c>
      <x:c r="M517" s="44" t="n">
        <x:v>-895.15</x:v>
      </x:c>
      <x:c r="N517" s="41"/>
    </x:row>
    <x:row r="518" ht="15" hidden="0" customHeight="1">
      <x:c r="A518" s="43" t="str">
        <x:v>2026-03-15</x:v>
      </x:c>
      <x:c r="B518" s="39" t="str">
        <x:v>Referral</x:v>
      </x:c>
      <x:c r="C518" s="39" t="n">
        <x:v>2916</x:v>
      </x:c>
      <x:c r="D518" s="39" t="n">
        <x:v>307</x:v>
      </x:c>
      <x:c r="E518" s="39" t="n">
        <x:v>6</x:v>
      </x:c>
      <x:c r="F518" s="44" t="n">
        <x:v>266.23</x:v>
      </x:c>
      <x:c r="G518" s="44" t="n">
        <x:v>3361.36</x:v>
      </x:c>
      <x:c r="H518" s="39" t="n">
        <x:v>6</x:v>
      </x:c>
      <x:c r="I518" s="41" t="n">
        <x:v>0.10528120713305898</x:v>
      </x:c>
      <x:c r="J518" s="41" t="n">
        <x:v>0.019543973941368076</x:v>
      </x:c>
      <x:c r="K518" s="44" t="n">
        <x:v>44.37166666666667</x:v>
      </x:c>
      <x:c r="L518" s="42" t="n">
        <x:v>12.625774706081208</x:v>
      </x:c>
      <x:c r="M518" s="44" t="n">
        <x:v>3095.13</x:v>
      </x:c>
      <x:c r="N518" s="41" t="n">
        <x:v>0.920796939334079</x:v>
      </x:c>
    </x:row>
    <x:row r="519" ht="15" hidden="0" customHeight="1">
      <x:c r="A519" s="43" t="str">
        <x:v>2026-03-15</x:v>
      </x:c>
      <x:c r="B519" s="39" t="str">
        <x:v>SEO</x:v>
      </x:c>
      <x:c r="C519" s="39" t="n">
        <x:v>2255</x:v>
      </x:c>
      <x:c r="D519" s="39" t="n">
        <x:v>84</x:v>
      </x:c>
      <x:c r="E519" s="39" t="n">
        <x:v>1</x:v>
      </x:c>
      <x:c r="F519" s="44" t="n">
        <x:v>943.46</x:v>
      </x:c>
      <x:c r="G519" s="44" t="n">
        <x:v>670.31</x:v>
      </x:c>
      <x:c r="H519" s="39" t="n">
        <x:v>6</x:v>
      </x:c>
      <x:c r="I519" s="41" t="n">
        <x:v>0.03725055432372506</x:v>
      </x:c>
      <x:c r="J519" s="41" t="n">
        <x:v>0.011904761904761904</x:v>
      </x:c>
      <x:c r="K519" s="44" t="n">
        <x:v>943.46</x:v>
      </x:c>
      <x:c r="L519" s="42" t="n">
        <x:v>0.7104805715133656</x:v>
      </x:c>
      <x:c r="M519" s="44" t="n">
        <x:v>-273.1500000000001</x:v>
      </x:c>
      <x:c r="N519" s="41" t="n">
        <x:v>-0.40749802330265117</x:v>
      </x:c>
    </x:row>
    <x:row r="520" ht="15" hidden="0" customHeight="1">
      <x:c r="A520" s="43" t="str">
        <x:v>2026-03-16</x:v>
      </x:c>
      <x:c r="B520" s="39" t="str">
        <x:v>Content</x:v>
      </x:c>
      <x:c r="C520" s="39" t="n">
        <x:v>1521</x:v>
      </x:c>
      <x:c r="D520" s="39" t="n">
        <x:v>102</x:v>
      </x:c>
      <x:c r="E520" s="39" t="n">
        <x:v>1</x:v>
      </x:c>
      <x:c r="F520" s="44" t="n">
        <x:v>875.63</x:v>
      </x:c>
      <x:c r="G520" s="44" t="n">
        <x:v>268.98</x:v>
      </x:c>
      <x:c r="H520" s="39" t="n">
        <x:v>6</x:v>
      </x:c>
      <x:c r="I520" s="41" t="n">
        <x:v>0.0670611439842209</x:v>
      </x:c>
      <x:c r="J520" s="41" t="n">
        <x:v>0.00980392156862745</x:v>
      </x:c>
      <x:c r="K520" s="44" t="n">
        <x:v>875.63</x:v>
      </x:c>
      <x:c r="L520" s="42" t="n">
        <x:v>0.30718454141589485</x:v>
      </x:c>
      <x:c r="M520" s="44" t="n">
        <x:v>-606.65</x:v>
      </x:c>
      <x:c r="N520" s="41" t="n">
        <x:v>-2.2553721466280017</x:v>
      </x:c>
    </x:row>
    <x:row r="521" ht="15" hidden="0" customHeight="1">
      <x:c r="A521" s="43" t="str">
        <x:v>2026-03-16</x:v>
      </x:c>
      <x:c r="B521" s="39" t="str">
        <x:v>LinkedIn Ads</x:v>
      </x:c>
      <x:c r="C521" s="39" t="n">
        <x:v>2123</x:v>
      </x:c>
      <x:c r="D521" s="39" t="n">
        <x:v>62</x:v>
      </x:c>
      <x:c r="E521" s="39" t="n">
        <x:v>0</x:v>
      </x:c>
      <x:c r="F521" s="44" t="n">
        <x:v>1054.2</x:v>
      </x:c>
      <x:c r="G521" s="44" t="n">
        <x:v>0</x:v>
      </x:c>
      <x:c r="H521" s="39" t="n">
        <x:v>6</x:v>
      </x:c>
      <x:c r="I521" s="41" t="n">
        <x:v>0.02920395666509656</x:v>
      </x:c>
      <x:c r="J521" s="41" t="n">
        <x:v>0</x:v>
      </x:c>
      <x:c r="K521" s="44"/>
      <x:c r="L521" s="42" t="n">
        <x:v>0</x:v>
      </x:c>
      <x:c r="M521" s="44" t="n">
        <x:v>-1054.2</x:v>
      </x:c>
      <x:c r="N521" s="41"/>
    </x:row>
    <x:row r="522" ht="15" hidden="0" customHeight="1">
      <x:c r="A522" s="43" t="str">
        <x:v>2026-03-16</x:v>
      </x:c>
      <x:c r="B522" s="39" t="str">
        <x:v>Outbound Sales</x:v>
      </x:c>
      <x:c r="C522" s="39" t="n">
        <x:v>2729</x:v>
      </x:c>
      <x:c r="D522" s="39" t="n">
        <x:v>159</x:v>
      </x:c>
      <x:c r="E522" s="39" t="n">
        <x:v>2</x:v>
      </x:c>
      <x:c r="F522" s="44" t="n">
        <x:v>1275.7</x:v>
      </x:c>
      <x:c r="G522" s="44" t="n">
        <x:v>1268.38</x:v>
      </x:c>
      <x:c r="H522" s="39" t="n">
        <x:v>6</x:v>
      </x:c>
      <x:c r="I522" s="41" t="n">
        <x:v>0.05826310003664346</x:v>
      </x:c>
      <x:c r="J522" s="41" t="n">
        <x:v>0.012578616352201259</x:v>
      </x:c>
      <x:c r="K522" s="44" t="n">
        <x:v>637.85</x:v>
      </x:c>
      <x:c r="L522" s="42" t="n">
        <x:v>0.9942619738182958</x:v>
      </x:c>
      <x:c r="M522" s="44" t="n">
        <x:v>-7.319999999999936</x:v>
      </x:c>
      <x:c r="N522" s="41" t="n">
        <x:v>-0.005771141140667573</x:v>
      </x:c>
    </x:row>
    <x:row r="523" ht="15" hidden="0" customHeight="1">
      <x:c r="A523" s="43" t="str">
        <x:v>2026-03-16</x:v>
      </x:c>
      <x:c r="B523" s="39" t="str">
        <x:v>Paid Search</x:v>
      </x:c>
      <x:c r="C523" s="39" t="n">
        <x:v>1983</x:v>
      </x:c>
      <x:c r="D523" s="39" t="n">
        <x:v>117</x:v>
      </x:c>
      <x:c r="E523" s="39" t="n">
        <x:v>1</x:v>
      </x:c>
      <x:c r="F523" s="44" t="n">
        <x:v>1896.21</x:v>
      </x:c>
      <x:c r="G523" s="44" t="n">
        <x:v>607.17</x:v>
      </x:c>
      <x:c r="H523" s="39" t="n">
        <x:v>6</x:v>
      </x:c>
      <x:c r="I523" s="41" t="n">
        <x:v>0.059001512859304085</x:v>
      </x:c>
      <x:c r="J523" s="41" t="n">
        <x:v>0.008547008547008548</x:v>
      </x:c>
      <x:c r="K523" s="44" t="n">
        <x:v>1896.21</x:v>
      </x:c>
      <x:c r="L523" s="42" t="n">
        <x:v>0.3202018763744522</x:v>
      </x:c>
      <x:c r="M523" s="44" t="n">
        <x:v>-1289.04</x:v>
      </x:c>
      <x:c r="N523" s="41" t="n">
        <x:v>-2.1230297939621523</x:v>
      </x:c>
    </x:row>
    <x:row r="524" ht="15" hidden="0" customHeight="1">
      <x:c r="A524" s="43" t="str">
        <x:v>2026-03-16</x:v>
      </x:c>
      <x:c r="B524" s="39" t="str">
        <x:v>Partnerships</x:v>
      </x:c>
      <x:c r="C524" s="39" t="n">
        <x:v>2951</x:v>
      </x:c>
      <x:c r="D524" s="39" t="n">
        <x:v>86</x:v>
      </x:c>
      <x:c r="E524" s="39" t="n">
        <x:v>0</x:v>
      </x:c>
      <x:c r="F524" s="44" t="n">
        <x:v>855.76</x:v>
      </x:c>
      <x:c r="G524" s="44" t="n">
        <x:v>0</x:v>
      </x:c>
      <x:c r="H524" s="39" t="n">
        <x:v>6</x:v>
      </x:c>
      <x:c r="I524" s="41" t="n">
        <x:v>0.029142663503896982</x:v>
      </x:c>
      <x:c r="J524" s="41" t="n">
        <x:v>0</x:v>
      </x:c>
      <x:c r="K524" s="44"/>
      <x:c r="L524" s="42" t="n">
        <x:v>0</x:v>
      </x:c>
      <x:c r="M524" s="44" t="n">
        <x:v>-855.76</x:v>
      </x:c>
      <x:c r="N524" s="41"/>
    </x:row>
    <x:row r="525" ht="15" hidden="0" customHeight="1">
      <x:c r="A525" s="43" t="str">
        <x:v>2026-03-16</x:v>
      </x:c>
      <x:c r="B525" s="39" t="str">
        <x:v>Referral</x:v>
      </x:c>
      <x:c r="C525" s="39" t="n">
        <x:v>3284</x:v>
      </x:c>
      <x:c r="D525" s="39" t="n">
        <x:v>268</x:v>
      </x:c>
      <x:c r="E525" s="39" t="n">
        <x:v>8</x:v>
      </x:c>
      <x:c r="F525" s="44" t="n">
        <x:v>561.22</x:v>
      </x:c>
      <x:c r="G525" s="44" t="n">
        <x:v>4353.41</x:v>
      </x:c>
      <x:c r="H525" s="39" t="n">
        <x:v>6</x:v>
      </x:c>
      <x:c r="I525" s="41" t="n">
        <x:v>0.08160779537149818</x:v>
      </x:c>
      <x:c r="J525" s="41" t="n">
        <x:v>0.029850746268656716</x:v>
      </x:c>
      <x:c r="K525" s="44" t="n">
        <x:v>70.1525</x:v>
      </x:c>
      <x:c r="L525" s="42" t="n">
        <x:v>7.7570471472862685</x:v>
      </x:c>
      <x:c r="M525" s="44" t="n">
        <x:v>3792.1899999999996</x:v>
      </x:c>
      <x:c r="N525" s="41" t="n">
        <x:v>0.8710849655787072</x:v>
      </x:c>
    </x:row>
    <x:row r="526" ht="15" hidden="0" customHeight="1">
      <x:c r="A526" s="43" t="str">
        <x:v>2026-03-16</x:v>
      </x:c>
      <x:c r="B526" s="39" t="str">
        <x:v>SEO</x:v>
      </x:c>
      <x:c r="C526" s="39" t="n">
        <x:v>2684</x:v>
      </x:c>
      <x:c r="D526" s="39" t="n">
        <x:v>79</x:v>
      </x:c>
      <x:c r="E526" s="39" t="n">
        <x:v>1</x:v>
      </x:c>
      <x:c r="F526" s="44" t="n">
        <x:v>1152.08</x:v>
      </x:c>
      <x:c r="G526" s="44" t="n">
        <x:v>543.16</x:v>
      </x:c>
      <x:c r="H526" s="39" t="n">
        <x:v>6</x:v>
      </x:c>
      <x:c r="I526" s="41" t="n">
        <x:v>0.029433681073025336</x:v>
      </x:c>
      <x:c r="J526" s="41" t="n">
        <x:v>0.012658227848101266</x:v>
      </x:c>
      <x:c r="K526" s="44" t="n">
        <x:v>1152.08</x:v>
      </x:c>
      <x:c r="L526" s="42" t="n">
        <x:v>0.471460315255885</x:v>
      </x:c>
      <x:c r="M526" s="44" t="n">
        <x:v>-608.92</x:v>
      </x:c>
      <x:c r="N526" s="41" t="n">
        <x:v>-1.1210692981810149</x:v>
      </x:c>
    </x:row>
    <x:row r="527" ht="15" hidden="0" customHeight="1">
      <x:c r="A527" s="43" t="str">
        <x:v>2026-03-17</x:v>
      </x:c>
      <x:c r="B527" s="39" t="str">
        <x:v>Content</x:v>
      </x:c>
      <x:c r="C527" s="39" t="n">
        <x:v>2178</x:v>
      </x:c>
      <x:c r="D527" s="39" t="n">
        <x:v>136</x:v>
      </x:c>
      <x:c r="E527" s="39" t="n">
        <x:v>1</x:v>
      </x:c>
      <x:c r="F527" s="44" t="n">
        <x:v>840.6700000000001</x:v>
      </x:c>
      <x:c r="G527" s="44" t="n">
        <x:v>262.37</x:v>
      </x:c>
      <x:c r="H527" s="39" t="n">
        <x:v>6</x:v>
      </x:c>
      <x:c r="I527" s="41" t="n">
        <x:v>0.06244260789715335</x:v>
      </x:c>
      <x:c r="J527" s="41" t="n">
        <x:v>0.007352941176470588</x:v>
      </x:c>
      <x:c r="K527" s="44" t="n">
        <x:v>840.6700000000001</x:v>
      </x:c>
      <x:c r="L527" s="42" t="n">
        <x:v>0.3120963041383658</x:v>
      </x:c>
      <x:c r="M527" s="44" t="n">
        <x:v>-578.3000000000001</x:v>
      </x:c>
      <x:c r="N527" s="41" t="n">
        <x:v>-2.204139192743073</x:v>
      </x:c>
    </x:row>
    <x:row r="528" ht="15" hidden="0" customHeight="1">
      <x:c r="A528" s="43" t="str">
        <x:v>2026-03-17</x:v>
      </x:c>
      <x:c r="B528" s="39" t="str">
        <x:v>LinkedIn Ads</x:v>
      </x:c>
      <x:c r="C528" s="39" t="n">
        <x:v>2312</x:v>
      </x:c>
      <x:c r="D528" s="39" t="n">
        <x:v>98</x:v>
      </x:c>
      <x:c r="E528" s="39" t="n">
        <x:v>1</x:v>
      </x:c>
      <x:c r="F528" s="44" t="n">
        <x:v>1258.38</x:v>
      </x:c>
      <x:c r="G528" s="44" t="n">
        <x:v>280.34</x:v>
      </x:c>
      <x:c r="H528" s="39" t="n">
        <x:v>6</x:v>
      </x:c>
      <x:c r="I528" s="41" t="n">
        <x:v>0.04238754325259515</x:v>
      </x:c>
      <x:c r="J528" s="41" t="n">
        <x:v>0.01020408163265306</x:v>
      </x:c>
      <x:c r="K528" s="44" t="n">
        <x:v>1258.38</x:v>
      </x:c>
      <x:c r="L528" s="42" t="n">
        <x:v>0.22277849298304164</x:v>
      </x:c>
      <x:c r="M528" s="44" t="n">
        <x:v>-978.0400000000002</x:v>
      </x:c>
      <x:c r="N528" s="41" t="n">
        <x:v>-3.4887636441463945</x:v>
      </x:c>
    </x:row>
    <x:row r="529" ht="15" hidden="0" customHeight="1">
      <x:c r="A529" s="43" t="str">
        <x:v>2026-03-17</x:v>
      </x:c>
      <x:c r="B529" s="39" t="str">
        <x:v>Outbound Sales</x:v>
      </x:c>
      <x:c r="C529" s="39" t="n">
        <x:v>3029</x:v>
      </x:c>
      <x:c r="D529" s="39" t="n">
        <x:v>225</x:v>
      </x:c>
      <x:c r="E529" s="39" t="n">
        <x:v>1</x:v>
      </x:c>
      <x:c r="F529" s="44" t="n">
        <x:v>1231.17</x:v>
      </x:c>
      <x:c r="G529" s="44" t="n">
        <x:v>645.78</x:v>
      </x:c>
      <x:c r="H529" s="39" t="n">
        <x:v>6</x:v>
      </x:c>
      <x:c r="I529" s="41" t="n">
        <x:v>0.07428194123473093</x:v>
      </x:c>
      <x:c r="J529" s="41" t="n">
        <x:v>0.0044444444444444444</x:v>
      </x:c>
      <x:c r="K529" s="44" t="n">
        <x:v>1231.17</x:v>
      </x:c>
      <x:c r="L529" s="42" t="n">
        <x:v>0.5245254513998878</x:v>
      </x:c>
      <x:c r="M529" s="44" t="n">
        <x:v>-585.3900000000001</x:v>
      </x:c>
      <x:c r="N529" s="41" t="n">
        <x:v>-0.9064851807116977</x:v>
      </x:c>
    </x:row>
    <x:row r="530" ht="15" hidden="0" customHeight="1">
      <x:c r="A530" s="43" t="str">
        <x:v>2026-03-17</x:v>
      </x:c>
      <x:c r="B530" s="39" t="str">
        <x:v>Paid Search</x:v>
      </x:c>
      <x:c r="C530" s="39" t="n">
        <x:v>3292</x:v>
      </x:c>
      <x:c r="D530" s="39" t="n">
        <x:v>155</x:v>
      </x:c>
      <x:c r="E530" s="39" t="n">
        <x:v>2</x:v>
      </x:c>
      <x:c r="F530" s="44" t="n">
        <x:v>2132.5699999999997</x:v>
      </x:c>
      <x:c r="G530" s="44" t="n">
        <x:v>615.79</x:v>
      </x:c>
      <x:c r="H530" s="39" t="n">
        <x:v>6</x:v>
      </x:c>
      <x:c r="I530" s="41" t="n">
        <x:v>0.04708383961117862</x:v>
      </x:c>
      <x:c r="J530" s="41" t="n">
        <x:v>0.012903225806451613</x:v>
      </x:c>
      <x:c r="K530" s="44" t="n">
        <x:v>1066.2849999999999</x:v>
      </x:c>
      <x:c r="L530" s="42" t="n">
        <x:v>0.2887548826064326</x:v>
      </x:c>
      <x:c r="M530" s="44" t="n">
        <x:v>-1516.7799999999997</x:v>
      </x:c>
      <x:c r="N530" s="41" t="n">
        <x:v>-2.463144903294954</x:v>
      </x:c>
    </x:row>
    <x:row r="531" ht="15" hidden="0" customHeight="1">
      <x:c r="A531" s="43" t="str">
        <x:v>2026-03-17</x:v>
      </x:c>
      <x:c r="B531" s="39" t="str">
        <x:v>Partnerships</x:v>
      </x:c>
      <x:c r="C531" s="39" t="n">
        <x:v>2697</x:v>
      </x:c>
      <x:c r="D531" s="39" t="n">
        <x:v>101</x:v>
      </x:c>
      <x:c r="E531" s="39" t="n">
        <x:v>1</x:v>
      </x:c>
      <x:c r="F531" s="44" t="n">
        <x:v>942.47</x:v>
      </x:c>
      <x:c r="G531" s="44" t="n">
        <x:v>318.53</x:v>
      </x:c>
      <x:c r="H531" s="39" t="n">
        <x:v>6</x:v>
      </x:c>
      <x:c r="I531" s="41" t="n">
        <x:v>0.03744901742677049</x:v>
      </x:c>
      <x:c r="J531" s="41" t="n">
        <x:v>0.009900990099009901</x:v>
      </x:c>
      <x:c r="K531" s="44" t="n">
        <x:v>942.47</x:v>
      </x:c>
      <x:c r="L531" s="42" t="n">
        <x:v>0.337973622502573</x:v>
      </x:c>
      <x:c r="M531" s="44" t="n">
        <x:v>-623.94</x:v>
      </x:c>
      <x:c r="N531" s="41" t="n">
        <x:v>-1.9588107870530251</x:v>
      </x:c>
    </x:row>
    <x:row r="532" ht="15" hidden="0" customHeight="1">
      <x:c r="A532" s="43" t="str">
        <x:v>2026-03-17</x:v>
      </x:c>
      <x:c r="B532" s="39" t="str">
        <x:v>Referral</x:v>
      </x:c>
      <x:c r="C532" s="39" t="n">
        <x:v>2935</x:v>
      </x:c>
      <x:c r="D532" s="39" t="n">
        <x:v>199</x:v>
      </x:c>
      <x:c r="E532" s="39" t="n">
        <x:v>6</x:v>
      </x:c>
      <x:c r="F532" s="44" t="n">
        <x:v>350.33</x:v>
      </x:c>
      <x:c r="G532" s="44" t="n">
        <x:v>3752.35</x:v>
      </x:c>
      <x:c r="H532" s="39" t="n">
        <x:v>6</x:v>
      </x:c>
      <x:c r="I532" s="41" t="n">
        <x:v>0.06780238500851789</x:v>
      </x:c>
      <x:c r="J532" s="41" t="n">
        <x:v>0.03015075376884422</x:v>
      </x:c>
      <x:c r="K532" s="44" t="n">
        <x:v>58.38833333333333</x:v>
      </x:c>
      <x:c r="L532" s="42" t="n">
        <x:v>10.710901150343961</x:v>
      </x:c>
      <x:c r="M532" s="44" t="n">
        <x:v>3402.02</x:v>
      </x:c>
      <x:c r="N532" s="41" t="n">
        <x:v>0.9066371740376031</x:v>
      </x:c>
    </x:row>
    <x:row r="533" ht="15" hidden="0" customHeight="1">
      <x:c r="A533" s="43" t="str">
        <x:v>2026-03-17</x:v>
      </x:c>
      <x:c r="B533" s="39" t="str">
        <x:v>SEO</x:v>
      </x:c>
      <x:c r="C533" s="39" t="n">
        <x:v>2101</x:v>
      </x:c>
      <x:c r="D533" s="39" t="n">
        <x:v>76</x:v>
      </x:c>
      <x:c r="E533" s="39" t="n">
        <x:v>1</x:v>
      </x:c>
      <x:c r="F533" s="44" t="n">
        <x:v>1086.96</x:v>
      </x:c>
      <x:c r="G533" s="44" t="n">
        <x:v>311.56</x:v>
      </x:c>
      <x:c r="H533" s="39" t="n">
        <x:v>6</x:v>
      </x:c>
      <x:c r="I533" s="41" t="n">
        <x:v>0.036173250832936696</x:v>
      </x:c>
      <x:c r="J533" s="41" t="n">
        <x:v>0.013157894736842105</x:v>
      </x:c>
      <x:c r="K533" s="44" t="n">
        <x:v>1086.96</x:v>
      </x:c>
      <x:c r="L533" s="42" t="n">
        <x:v>0.2866342827702951</x:v>
      </x:c>
      <x:c r="M533" s="44" t="n">
        <x:v>-775.4000000000001</x:v>
      </x:c>
      <x:c r="N533" s="41" t="n">
        <x:v>-2.4887662087559383</x:v>
      </x:c>
    </x:row>
    <x:row r="534" ht="15" hidden="0" customHeight="1">
      <x:c r="A534" s="43" t="str">
        <x:v>2026-03-18</x:v>
      </x:c>
      <x:c r="B534" s="39" t="str">
        <x:v>Content</x:v>
      </x:c>
      <x:c r="C534" s="39" t="n">
        <x:v>2200</x:v>
      </x:c>
      <x:c r="D534" s="39" t="n">
        <x:v>75</x:v>
      </x:c>
      <x:c r="E534" s="39" t="n">
        <x:v>1</x:v>
      </x:c>
      <x:c r="F534" s="44" t="n">
        <x:v>1000.17</x:v>
      </x:c>
      <x:c r="G534" s="44" t="n">
        <x:v>254.31</x:v>
      </x:c>
      <x:c r="H534" s="39" t="n">
        <x:v>6</x:v>
      </x:c>
      <x:c r="I534" s="41" t="n">
        <x:v>0.03409090909090909</x:v>
      </x:c>
      <x:c r="J534" s="41" t="n">
        <x:v>0.013333333333333334</x:v>
      </x:c>
      <x:c r="K534" s="44" t="n">
        <x:v>1000.17</x:v>
      </x:c>
      <x:c r="L534" s="42" t="n">
        <x:v>0.2542667746483098</x:v>
      </x:c>
      <x:c r="M534" s="44" t="n">
        <x:v>-745.8599999999999</x:v>
      </x:c>
      <x:c r="N534" s="41" t="n">
        <x:v>-2.932877197121623</x:v>
      </x:c>
    </x:row>
    <x:row r="535" ht="15" hidden="0" customHeight="1">
      <x:c r="A535" s="43" t="str">
        <x:v>2026-03-18</x:v>
      </x:c>
      <x:c r="B535" s="39" t="str">
        <x:v>LinkedIn Ads</x:v>
      </x:c>
      <x:c r="C535" s="39" t="n">
        <x:v>2893</x:v>
      </x:c>
      <x:c r="D535" s="39" t="n">
        <x:v>66</x:v>
      </x:c>
      <x:c r="E535" s="39" t="n">
        <x:v>0</x:v>
      </x:c>
      <x:c r="F535" s="44" t="n">
        <x:v>1386.34</x:v>
      </x:c>
      <x:c r="G535" s="44" t="n">
        <x:v>0</x:v>
      </x:c>
      <x:c r="H535" s="39" t="n">
        <x:v>6</x:v>
      </x:c>
      <x:c r="I535" s="41" t="n">
        <x:v>0.022813688212927757</x:v>
      </x:c>
      <x:c r="J535" s="41" t="n">
        <x:v>0</x:v>
      </x:c>
      <x:c r="K535" s="44"/>
      <x:c r="L535" s="42" t="n">
        <x:v>0</x:v>
      </x:c>
      <x:c r="M535" s="44" t="n">
        <x:v>-1386.34</x:v>
      </x:c>
      <x:c r="N535" s="41"/>
    </x:row>
    <x:row r="536" ht="15" hidden="0" customHeight="1">
      <x:c r="A536" s="43" t="str">
        <x:v>2026-03-18</x:v>
      </x:c>
      <x:c r="B536" s="39" t="str">
        <x:v>Outbound Sales</x:v>
      </x:c>
      <x:c r="C536" s="39" t="n">
        <x:v>2461</x:v>
      </x:c>
      <x:c r="D536" s="39" t="n">
        <x:v>153</x:v>
      </x:c>
      <x:c r="E536" s="39" t="n">
        <x:v>1</x:v>
      </x:c>
      <x:c r="F536" s="44" t="n">
        <x:v>1363.26</x:v>
      </x:c>
      <x:c r="G536" s="44" t="n">
        <x:v>618.23</x:v>
      </x:c>
      <x:c r="H536" s="39" t="n">
        <x:v>6</x:v>
      </x:c>
      <x:c r="I536" s="41" t="n">
        <x:v>0.06216984965461195</x:v>
      </x:c>
      <x:c r="J536" s="41" t="n">
        <x:v>0.006535947712418301</x:v>
      </x:c>
      <x:c r="K536" s="44" t="n">
        <x:v>1363.26</x:v>
      </x:c>
      <x:c r="L536" s="42" t="n">
        <x:v>0.45349383096401275</x:v>
      </x:c>
      <x:c r="M536" s="44" t="n">
        <x:v>-745.03</x:v>
      </x:c>
      <x:c r="N536" s="41" t="n">
        <x:v>-1.205101661194054</x:v>
      </x:c>
    </x:row>
    <x:row r="537" ht="15" hidden="0" customHeight="1">
      <x:c r="A537" s="43" t="str">
        <x:v>2026-03-18</x:v>
      </x:c>
      <x:c r="B537" s="39" t="str">
        <x:v>Paid Search</x:v>
      </x:c>
      <x:c r="C537" s="39" t="n">
        <x:v>3305</x:v>
      </x:c>
      <x:c r="D537" s="39" t="n">
        <x:v>227</x:v>
      </x:c>
      <x:c r="E537" s="39" t="n">
        <x:v>4</x:v>
      </x:c>
      <x:c r="F537" s="44" t="n">
        <x:v>2471.65</x:v>
      </x:c>
      <x:c r="G537" s="44" t="n">
        <x:v>1811.3700000000001</x:v>
      </x:c>
      <x:c r="H537" s="39" t="n">
        <x:v>6</x:v>
      </x:c>
      <x:c r="I537" s="41" t="n">
        <x:v>0.0686838124054463</x:v>
      </x:c>
      <x:c r="J537" s="41" t="n">
        <x:v>0.01762114537444934</x:v>
      </x:c>
      <x:c r="K537" s="44" t="n">
        <x:v>617.9125</x:v>
      </x:c>
      <x:c r="L537" s="42" t="n">
        <x:v>0.7328586167135315</x:v>
      </x:c>
      <x:c r="M537" s="44" t="n">
        <x:v>-660.28</x:v>
      </x:c>
      <x:c r="N537" s="41" t="n">
        <x:v>-0.3645196729547248</x:v>
      </x:c>
    </x:row>
    <x:row r="538" ht="15" hidden="0" customHeight="1">
      <x:c r="A538" s="43" t="str">
        <x:v>2026-03-18</x:v>
      </x:c>
      <x:c r="B538" s="39" t="str">
        <x:v>Partnerships</x:v>
      </x:c>
      <x:c r="C538" s="39" t="n">
        <x:v>1554</x:v>
      </x:c>
      <x:c r="D538" s="39" t="n">
        <x:v>98</x:v>
      </x:c>
      <x:c r="E538" s="39" t="n">
        <x:v>0</x:v>
      </x:c>
      <x:c r="F538" s="44" t="n">
        <x:v>1012.64</x:v>
      </x:c>
      <x:c r="G538" s="44" t="n">
        <x:v>0</x:v>
      </x:c>
      <x:c r="H538" s="39" t="n">
        <x:v>6</x:v>
      </x:c>
      <x:c r="I538" s="41" t="n">
        <x:v>0.06306306306306306</x:v>
      </x:c>
      <x:c r="J538" s="41" t="n">
        <x:v>0</x:v>
      </x:c>
      <x:c r="K538" s="44"/>
      <x:c r="L538" s="42" t="n">
        <x:v>0</x:v>
      </x:c>
      <x:c r="M538" s="44" t="n">
        <x:v>-1012.64</x:v>
      </x:c>
      <x:c r="N538" s="41"/>
    </x:row>
    <x:row r="539" ht="15" hidden="0" customHeight="1">
      <x:c r="A539" s="43" t="str">
        <x:v>2026-03-18</x:v>
      </x:c>
      <x:c r="B539" s="39" t="str">
        <x:v>Referral</x:v>
      </x:c>
      <x:c r="C539" s="39" t="n">
        <x:v>2557</x:v>
      </x:c>
      <x:c r="D539" s="39" t="n">
        <x:v>256</x:v>
      </x:c>
      <x:c r="E539" s="39" t="n">
        <x:v>7</x:v>
      </x:c>
      <x:c r="F539" s="44" t="n">
        <x:v>506.95</x:v>
      </x:c>
      <x:c r="G539" s="44" t="n">
        <x:v>3448.9300000000003</x:v>
      </x:c>
      <x:c r="H539" s="39" t="n">
        <x:v>6</x:v>
      </x:c>
      <x:c r="I539" s="41" t="n">
        <x:v>0.10011732499022291</x:v>
      </x:c>
      <x:c r="J539" s="41" t="n">
        <x:v>0.02734375</x:v>
      </x:c>
      <x:c r="K539" s="44" t="n">
        <x:v>72.42142857142856</x:v>
      </x:c>
      <x:c r="L539" s="42" t="n">
        <x:v>6.803294210474406</x:v>
      </x:c>
      <x:c r="M539" s="44" t="n">
        <x:v>2941.9800000000005</x:v>
      </x:c>
      <x:c r="N539" s="41" t="n">
        <x:v>0.8530123835508405</x:v>
      </x:c>
    </x:row>
    <x:row r="540" ht="15" hidden="0" customHeight="1">
      <x:c r="A540" s="43" t="str">
        <x:v>2026-03-18</x:v>
      </x:c>
      <x:c r="B540" s="39" t="str">
        <x:v>SEO</x:v>
      </x:c>
      <x:c r="C540" s="39" t="n">
        <x:v>1652</x:v>
      </x:c>
      <x:c r="D540" s="39" t="n">
        <x:v>97</x:v>
      </x:c>
      <x:c r="E540" s="39" t="n">
        <x:v>2</x:v>
      </x:c>
      <x:c r="F540" s="44" t="n">
        <x:v>1249.72</x:v>
      </x:c>
      <x:c r="G540" s="44" t="n">
        <x:v>1042.22</x:v>
      </x:c>
      <x:c r="H540" s="39" t="n">
        <x:v>6</x:v>
      </x:c>
      <x:c r="I540" s="41" t="n">
        <x:v>0.05871670702179177</x:v>
      </x:c>
      <x:c r="J540" s="41" t="n">
        <x:v>0.020618556701030927</x:v>
      </x:c>
      <x:c r="K540" s="44" t="n">
        <x:v>624.86</x:v>
      </x:c>
      <x:c r="L540" s="42" t="n">
        <x:v>0.8339628076689178</x:v>
      </x:c>
      <x:c r="M540" s="44" t="n">
        <x:v>-207.5</x:v>
      </x:c>
      <x:c r="N540" s="41" t="n">
        <x:v>-0.1990942411391069</x:v>
      </x:c>
    </x:row>
    <x:row r="541" ht="15" hidden="0" customHeight="1">
      <x:c r="A541" s="43" t="str">
        <x:v>2026-03-19</x:v>
      </x:c>
      <x:c r="B541" s="39" t="str">
        <x:v>Content</x:v>
      </x:c>
      <x:c r="C541" s="39" t="n">
        <x:v>1971</x:v>
      </x:c>
      <x:c r="D541" s="39" t="n">
        <x:v>120</x:v>
      </x:c>
      <x:c r="E541" s="39" t="n">
        <x:v>1</x:v>
      </x:c>
      <x:c r="F541" s="44" t="n">
        <x:v>882.84</x:v>
      </x:c>
      <x:c r="G541" s="44" t="n">
        <x:v>255.81</x:v>
      </x:c>
      <x:c r="H541" s="39" t="n">
        <x:v>6</x:v>
      </x:c>
      <x:c r="I541" s="41" t="n">
        <x:v>0.060882800608828</x:v>
      </x:c>
      <x:c r="J541" s="41" t="n">
        <x:v>0.008333333333333333</x:v>
      </x:c>
      <x:c r="K541" s="44" t="n">
        <x:v>882.84</x:v>
      </x:c>
      <x:c r="L541" s="42" t="n">
        <x:v>0.28975805355443796</x:v>
      </x:c>
      <x:c r="M541" s="44" t="n">
        <x:v>-627.03</x:v>
      </x:c>
      <x:c r="N541" s="41" t="n">
        <x:v>-2.4511551542160195</x:v>
      </x:c>
    </x:row>
    <x:row r="542" ht="15" hidden="0" customHeight="1">
      <x:c r="A542" s="43" t="str">
        <x:v>2026-03-19</x:v>
      </x:c>
      <x:c r="B542" s="39" t="str">
        <x:v>LinkedIn Ads</x:v>
      </x:c>
      <x:c r="C542" s="39" t="n">
        <x:v>2107</x:v>
      </x:c>
      <x:c r="D542" s="39" t="n">
        <x:v>75</x:v>
      </x:c>
      <x:c r="E542" s="39" t="n">
        <x:v>0</x:v>
      </x:c>
      <x:c r="F542" s="44" t="n">
        <x:v>1126.1100000000001</x:v>
      </x:c>
      <x:c r="G542" s="44" t="n">
        <x:v>0</x:v>
      </x:c>
      <x:c r="H542" s="39" t="n">
        <x:v>6</x:v>
      </x:c>
      <x:c r="I542" s="41" t="n">
        <x:v>0.03559563360227812</x:v>
      </x:c>
      <x:c r="J542" s="41" t="n">
        <x:v>0</x:v>
      </x:c>
      <x:c r="K542" s="44"/>
      <x:c r="L542" s="42" t="n">
        <x:v>0</x:v>
      </x:c>
      <x:c r="M542" s="44" t="n">
        <x:v>-1126.1100000000001</x:v>
      </x:c>
      <x:c r="N542" s="41"/>
    </x:row>
    <x:row r="543" ht="15" hidden="0" customHeight="1">
      <x:c r="A543" s="43" t="str">
        <x:v>2026-03-19</x:v>
      </x:c>
      <x:c r="B543" s="39" t="str">
        <x:v>Outbound Sales</x:v>
      </x:c>
      <x:c r="C543" s="39" t="n">
        <x:v>2659</x:v>
      </x:c>
      <x:c r="D543" s="39" t="n">
        <x:v>142</x:v>
      </x:c>
      <x:c r="E543" s="39" t="n">
        <x:v>1</x:v>
      </x:c>
      <x:c r="F543" s="44" t="n">
        <x:v>1176.85</x:v>
      </x:c>
      <x:c r="G543" s="44" t="n">
        <x:v>604.71</x:v>
      </x:c>
      <x:c r="H543" s="39" t="n">
        <x:v>6</x:v>
      </x:c>
      <x:c r="I543" s="41" t="n">
        <x:v>0.053403535163595334</x:v>
      </x:c>
      <x:c r="J543" s="41" t="n">
        <x:v>0.007042253521126761</x:v>
      </x:c>
      <x:c r="K543" s="44" t="n">
        <x:v>1176.85</x:v>
      </x:c>
      <x:c r="L543" s="42" t="n">
        <x:v>0.5138377873135914</x:v>
      </x:c>
      <x:c r="M543" s="44" t="n">
        <x:v>-572.1399999999999</x:v>
      </x:c>
      <x:c r="N543" s="41" t="n">
        <x:v>-0.9461394718129349</x:v>
      </x:c>
    </x:row>
    <x:row r="544" ht="15" hidden="0" customHeight="1">
      <x:c r="A544" s="43" t="str">
        <x:v>2026-03-19</x:v>
      </x:c>
      <x:c r="B544" s="39" t="str">
        <x:v>Paid Search</x:v>
      </x:c>
      <x:c r="C544" s="39" t="n">
        <x:v>2903</x:v>
      </x:c>
      <x:c r="D544" s="39" t="n">
        <x:v>150</x:v>
      </x:c>
      <x:c r="E544" s="39" t="n">
        <x:v>2</x:v>
      </x:c>
      <x:c r="F544" s="44" t="n">
        <x:v>2064.9</x:v>
      </x:c>
      <x:c r="G544" s="44" t="n">
        <x:v>825.3399999999999</x:v>
      </x:c>
      <x:c r="H544" s="39" t="n">
        <x:v>6</x:v>
      </x:c>
      <x:c r="I544" s="41" t="n">
        <x:v>0.05167068549776094</x:v>
      </x:c>
      <x:c r="J544" s="41" t="n">
        <x:v>0.013333333333333334</x:v>
      </x:c>
      <x:c r="K544" s="44" t="n">
        <x:v>1032.45</x:v>
      </x:c>
      <x:c r="L544" s="42" t="n">
        <x:v>0.39969974332897473</x:v>
      </x:c>
      <x:c r="M544" s="44" t="n">
        <x:v>-1239.5600000000002</x:v>
      </x:c>
      <x:c r="N544" s="41" t="n">
        <x:v>-1.5018780139094194</x:v>
      </x:c>
    </x:row>
    <x:row r="545" ht="15" hidden="0" customHeight="1">
      <x:c r="A545" s="43" t="str">
        <x:v>2026-03-19</x:v>
      </x:c>
      <x:c r="B545" s="39" t="str">
        <x:v>Partnerships</x:v>
      </x:c>
      <x:c r="C545" s="39" t="n">
        <x:v>2573</x:v>
      </x:c>
      <x:c r="D545" s="39" t="n">
        <x:v>121</x:v>
      </x:c>
      <x:c r="E545" s="39" t="n">
        <x:v>0</x:v>
      </x:c>
      <x:c r="F545" s="44" t="n">
        <x:v>830.85</x:v>
      </x:c>
      <x:c r="G545" s="44" t="n">
        <x:v>0</x:v>
      </x:c>
      <x:c r="H545" s="39" t="n">
        <x:v>6</x:v>
      </x:c>
      <x:c r="I545" s="41" t="n">
        <x:v>0.04702681694520015</x:v>
      </x:c>
      <x:c r="J545" s="41" t="n">
        <x:v>0</x:v>
      </x:c>
      <x:c r="K545" s="44"/>
      <x:c r="L545" s="42" t="n">
        <x:v>0</x:v>
      </x:c>
      <x:c r="M545" s="44" t="n">
        <x:v>-830.85</x:v>
      </x:c>
      <x:c r="N545" s="41"/>
    </x:row>
    <x:row r="546" ht="15" hidden="0" customHeight="1">
      <x:c r="A546" s="43" t="str">
        <x:v>2026-03-19</x:v>
      </x:c>
      <x:c r="B546" s="39" t="str">
        <x:v>Referral</x:v>
      </x:c>
      <x:c r="C546" s="39" t="n">
        <x:v>2687</x:v>
      </x:c>
      <x:c r="D546" s="39" t="n">
        <x:v>254</x:v>
      </x:c>
      <x:c r="E546" s="39" t="n">
        <x:v>7</x:v>
      </x:c>
      <x:c r="F546" s="44" t="n">
        <x:v>496.87</x:v>
      </x:c>
      <x:c r="G546" s="44" t="n">
        <x:v>3328.02</x:v>
      </x:c>
      <x:c r="H546" s="39" t="n">
        <x:v>6</x:v>
      </x:c>
      <x:c r="I546" s="41" t="n">
        <x:v>0.0945292147376256</x:v>
      </x:c>
      <x:c r="J546" s="41" t="n">
        <x:v>0.027559055118110236</x:v>
      </x:c>
      <x:c r="K546" s="44" t="n">
        <x:v>70.98142857142857</x:v>
      </x:c>
      <x:c r="L546" s="42" t="n">
        <x:v>6.69796928774126</x:v>
      </x:c>
      <x:c r="M546" s="44" t="n">
        <x:v>2831.15</x:v>
      </x:c>
      <x:c r="N546" s="41" t="n">
        <x:v>0.8507010174217703</x:v>
      </x:c>
    </x:row>
    <x:row r="547" ht="15" hidden="0" customHeight="1">
      <x:c r="A547" s="43" t="str">
        <x:v>2026-03-19</x:v>
      </x:c>
      <x:c r="B547" s="39" t="str">
        <x:v>SEO</x:v>
      </x:c>
      <x:c r="C547" s="39" t="n">
        <x:v>1980</x:v>
      </x:c>
      <x:c r="D547" s="39" t="n">
        <x:v>71</x:v>
      </x:c>
      <x:c r="E547" s="39" t="n">
        <x:v>2</x:v>
      </x:c>
      <x:c r="F547" s="44" t="n">
        <x:v>1158.06</x:v>
      </x:c>
      <x:c r="G547" s="44" t="n">
        <x:v>975.04</x:v>
      </x:c>
      <x:c r="H547" s="39" t="n">
        <x:v>6</x:v>
      </x:c>
      <x:c r="I547" s="41" t="n">
        <x:v>0.03585858585858586</x:v>
      </x:c>
      <x:c r="J547" s="41" t="n">
        <x:v>0.028169014084507043</x:v>
      </x:c>
      <x:c r="K547" s="44" t="n">
        <x:v>579.03</x:v>
      </x:c>
      <x:c r="L547" s="42" t="n">
        <x:v>0.8419598293698082</x:v>
      </x:c>
      <x:c r="M547" s="44" t="n">
        <x:v>-183.01999999999998</x:v>
      </x:c>
      <x:c r="N547" s="41" t="n">
        <x:v>-0.18770511978995733</x:v>
      </x:c>
    </x:row>
    <x:row r="548" ht="15" hidden="0" customHeight="1">
      <x:c r="A548" s="43" t="str">
        <x:v>2026-03-20</x:v>
      </x:c>
      <x:c r="B548" s="39" t="str">
        <x:v>Content</x:v>
      </x:c>
      <x:c r="C548" s="39" t="n">
        <x:v>2124</x:v>
      </x:c>
      <x:c r="D548" s="39" t="n">
        <x:v>74</x:v>
      </x:c>
      <x:c r="E548" s="39" t="n">
        <x:v>0</x:v>
      </x:c>
      <x:c r="F548" s="44" t="n">
        <x:v>702.75</x:v>
      </x:c>
      <x:c r="G548" s="44" t="n">
        <x:v>0</x:v>
      </x:c>
      <x:c r="H548" s="39" t="n">
        <x:v>6</x:v>
      </x:c>
      <x:c r="I548" s="41" t="n">
        <x:v>0.03483992467043315</x:v>
      </x:c>
      <x:c r="J548" s="41" t="n">
        <x:v>0</x:v>
      </x:c>
      <x:c r="K548" s="44"/>
      <x:c r="L548" s="42" t="n">
        <x:v>0</x:v>
      </x:c>
      <x:c r="M548" s="44" t="n">
        <x:v>-702.75</x:v>
      </x:c>
      <x:c r="N548" s="41"/>
    </x:row>
    <x:row r="549" ht="15" hidden="0" customHeight="1">
      <x:c r="A549" s="43" t="str">
        <x:v>2026-03-20</x:v>
      </x:c>
      <x:c r="B549" s="39" t="str">
        <x:v>LinkedIn Ads</x:v>
      </x:c>
      <x:c r="C549" s="39" t="n">
        <x:v>2420</x:v>
      </x:c>
      <x:c r="D549" s="39" t="n">
        <x:v>64</x:v>
      </x:c>
      <x:c r="E549" s="39" t="n">
        <x:v>0</x:v>
      </x:c>
      <x:c r="F549" s="44" t="n">
        <x:v>1034.53</x:v>
      </x:c>
      <x:c r="G549" s="44" t="n">
        <x:v>0</x:v>
      </x:c>
      <x:c r="H549" s="39" t="n">
        <x:v>6</x:v>
      </x:c>
      <x:c r="I549" s="41" t="n">
        <x:v>0.026446280991735537</x:v>
      </x:c>
      <x:c r="J549" s="41" t="n">
        <x:v>0</x:v>
      </x:c>
      <x:c r="K549" s="44"/>
      <x:c r="L549" s="42" t="n">
        <x:v>0</x:v>
      </x:c>
      <x:c r="M549" s="44" t="n">
        <x:v>-1034.53</x:v>
      </x:c>
      <x:c r="N549" s="41"/>
    </x:row>
    <x:row r="550" ht="15" hidden="0" customHeight="1">
      <x:c r="A550" s="43" t="str">
        <x:v>2026-03-20</x:v>
      </x:c>
      <x:c r="B550" s="39" t="str">
        <x:v>Outbound Sales</x:v>
      </x:c>
      <x:c r="C550" s="39" t="n">
        <x:v>2338</x:v>
      </x:c>
      <x:c r="D550" s="39" t="n">
        <x:v>86</x:v>
      </x:c>
      <x:c r="E550" s="39" t="n">
        <x:v>0</x:v>
      </x:c>
      <x:c r="F550" s="44" t="n">
        <x:v>992.27</x:v>
      </x:c>
      <x:c r="G550" s="44" t="n">
        <x:v>0</x:v>
      </x:c>
      <x:c r="H550" s="39" t="n">
        <x:v>6</x:v>
      </x:c>
      <x:c r="I550" s="41" t="n">
        <x:v>0.036783575705731396</x:v>
      </x:c>
      <x:c r="J550" s="41" t="n">
        <x:v>0</x:v>
      </x:c>
      <x:c r="K550" s="44"/>
      <x:c r="L550" s="42" t="n">
        <x:v>0</x:v>
      </x:c>
      <x:c r="M550" s="44" t="n">
        <x:v>-992.27</x:v>
      </x:c>
      <x:c r="N550" s="41"/>
    </x:row>
    <x:row r="551" ht="15" hidden="0" customHeight="1">
      <x:c r="A551" s="43" t="str">
        <x:v>2026-03-20</x:v>
      </x:c>
      <x:c r="B551" s="39" t="str">
        <x:v>Paid Search</x:v>
      </x:c>
      <x:c r="C551" s="39" t="n">
        <x:v>3007</x:v>
      </x:c>
      <x:c r="D551" s="39" t="n">
        <x:v>134</x:v>
      </x:c>
      <x:c r="E551" s="39" t="n">
        <x:v>2</x:v>
      </x:c>
      <x:c r="F551" s="44" t="n">
        <x:v>1809.76</x:v>
      </x:c>
      <x:c r="G551" s="44" t="n">
        <x:v>913.05</x:v>
      </x:c>
      <x:c r="H551" s="39" t="n">
        <x:v>6</x:v>
      </x:c>
      <x:c r="I551" s="41" t="n">
        <x:v>0.04456268706351846</x:v>
      </x:c>
      <x:c r="J551" s="41" t="n">
        <x:v>0.014925373134328358</x:v>
      </x:c>
      <x:c r="K551" s="44" t="n">
        <x:v>904.88</x:v>
      </x:c>
      <x:c r="L551" s="42" t="n">
        <x:v>0.5045144107505968</x:v>
      </x:c>
      <x:c r="M551" s="44" t="n">
        <x:v>-896.71</x:v>
      </x:c>
      <x:c r="N551" s="41" t="n">
        <x:v>-0.9821039373528285</x:v>
      </x:c>
    </x:row>
    <x:row r="552" ht="15" hidden="0" customHeight="1">
      <x:c r="A552" s="43" t="str">
        <x:v>2026-03-20</x:v>
      </x:c>
      <x:c r="B552" s="39" t="str">
        <x:v>Partnerships</x:v>
      </x:c>
      <x:c r="C552" s="39" t="n">
        <x:v>2194</x:v>
      </x:c>
      <x:c r="D552" s="39" t="n">
        <x:v>64</x:v>
      </x:c>
      <x:c r="E552" s="39" t="n">
        <x:v>0</x:v>
      </x:c>
      <x:c r="F552" s="44" t="n">
        <x:v>755.26</x:v>
      </x:c>
      <x:c r="G552" s="44" t="n">
        <x:v>0</x:v>
      </x:c>
      <x:c r="H552" s="39" t="n">
        <x:v>6</x:v>
      </x:c>
      <x:c r="I552" s="41" t="n">
        <x:v>0.02917046490428441</x:v>
      </x:c>
      <x:c r="J552" s="41" t="n">
        <x:v>0</x:v>
      </x:c>
      <x:c r="K552" s="44"/>
      <x:c r="L552" s="42" t="n">
        <x:v>0</x:v>
      </x:c>
      <x:c r="M552" s="44" t="n">
        <x:v>-755.26</x:v>
      </x:c>
      <x:c r="N552" s="41"/>
    </x:row>
    <x:row r="553" ht="15" hidden="0" customHeight="1">
      <x:c r="A553" s="43" t="str">
        <x:v>2026-03-20</x:v>
      </x:c>
      <x:c r="B553" s="39" t="str">
        <x:v>Referral</x:v>
      </x:c>
      <x:c r="C553" s="39" t="n">
        <x:v>3816</x:v>
      </x:c>
      <x:c r="D553" s="39" t="n">
        <x:v>353</x:v>
      </x:c>
      <x:c r="E553" s="39" t="n">
        <x:v>9</x:v>
      </x:c>
      <x:c r="F553" s="44" t="n">
        <x:v>342.81</x:v>
      </x:c>
      <x:c r="G553" s="44" t="n">
        <x:v>4505.82</x:v>
      </x:c>
      <x:c r="H553" s="39" t="n">
        <x:v>6</x:v>
      </x:c>
      <x:c r="I553" s="41" t="n">
        <x:v>0.09250524109014675</x:v>
      </x:c>
      <x:c r="J553" s="41" t="n">
        <x:v>0.025495750708215296</x:v>
      </x:c>
      <x:c r="K553" s="44" t="n">
        <x:v>38.09</x:v>
      </x:c>
      <x:c r="L553" s="42" t="n">
        <x:v>13.143782270062133</x:v>
      </x:c>
      <x:c r="M553" s="44" t="n">
        <x:v>4163.009999999999</x:v>
      </x:c>
      <x:c r="N553" s="41" t="n">
        <x:v>0.9239183988707936</x:v>
      </x:c>
    </x:row>
    <x:row r="554" ht="15" hidden="0" customHeight="1">
      <x:c r="A554" s="43" t="str">
        <x:v>2026-03-20</x:v>
      </x:c>
      <x:c r="B554" s="39" t="str">
        <x:v>SEO</x:v>
      </x:c>
      <x:c r="C554" s="39" t="n">
        <x:v>2024</x:v>
      </x:c>
      <x:c r="D554" s="39" t="n">
        <x:v>90</x:v>
      </x:c>
      <x:c r="E554" s="39" t="n">
        <x:v>0</x:v>
      </x:c>
      <x:c r="F554" s="44" t="n">
        <x:v>851.05</x:v>
      </x:c>
      <x:c r="G554" s="44" t="n">
        <x:v>0</x:v>
      </x:c>
      <x:c r="H554" s="39" t="n">
        <x:v>6</x:v>
      </x:c>
      <x:c r="I554" s="41" t="n">
        <x:v>0.044466403162055336</x:v>
      </x:c>
      <x:c r="J554" s="41" t="n">
        <x:v>0</x:v>
      </x:c>
      <x:c r="K554" s="44"/>
      <x:c r="L554" s="42" t="n">
        <x:v>0</x:v>
      </x:c>
      <x:c r="M554" s="44" t="n">
        <x:v>-851.05</x:v>
      </x:c>
      <x:c r="N554" s="41"/>
    </x:row>
    <x:row r="555" ht="15" hidden="0" customHeight="1">
      <x:c r="A555" s="43" t="str">
        <x:v>2026-03-21</x:v>
      </x:c>
      <x:c r="B555" s="39" t="str">
        <x:v>Content</x:v>
      </x:c>
      <x:c r="C555" s="39" t="n">
        <x:v>2186</x:v>
      </x:c>
      <x:c r="D555" s="39" t="n">
        <x:v>129</x:v>
      </x:c>
      <x:c r="E555" s="39" t="n">
        <x:v>2</x:v>
      </x:c>
      <x:c r="F555" s="44" t="n">
        <x:v>1116.03</x:v>
      </x:c>
      <x:c r="G555" s="44" t="n">
        <x:v>636.48</x:v>
      </x:c>
      <x:c r="H555" s="39" t="n">
        <x:v>6</x:v>
      </x:c>
      <x:c r="I555" s="41" t="n">
        <x:v>0.05901189387008234</x:v>
      </x:c>
      <x:c r="J555" s="41" t="n">
        <x:v>0.015503875968992248</x:v>
      </x:c>
      <x:c r="K555" s="44" t="n">
        <x:v>558.015</x:v>
      </x:c>
      <x:c r="L555" s="42" t="n">
        <x:v>0.5703072498051128</x:v>
      </x:c>
      <x:c r="M555" s="44" t="n">
        <x:v>-479.54999999999995</x:v>
      </x:c>
      <x:c r="N555" s="41" t="n">
        <x:v>-0.7534407993966816</x:v>
      </x:c>
    </x:row>
    <x:row r="556" ht="15" hidden="0" customHeight="1">
      <x:c r="A556" s="43" t="str">
        <x:v>2026-03-21</x:v>
      </x:c>
      <x:c r="B556" s="39" t="str">
        <x:v>LinkedIn Ads</x:v>
      </x:c>
      <x:c r="C556" s="39" t="n">
        <x:v>2236</x:v>
      </x:c>
      <x:c r="D556" s="39" t="n">
        <x:v>130</x:v>
      </x:c>
      <x:c r="E556" s="39" t="n">
        <x:v>2</x:v>
      </x:c>
      <x:c r="F556" s="44" t="n">
        <x:v>1873.9099999999999</x:v>
      </x:c>
      <x:c r="G556" s="44" t="n">
        <x:v>952.11</x:v>
      </x:c>
      <x:c r="H556" s="39" t="n">
        <x:v>6</x:v>
      </x:c>
      <x:c r="I556" s="41" t="n">
        <x:v>0.05813953488372093</x:v>
      </x:c>
      <x:c r="J556" s="41" t="n">
        <x:v>0.015384615384615385</x:v>
      </x:c>
      <x:c r="K556" s="44" t="n">
        <x:v>936.9549999999999</x:v>
      </x:c>
      <x:c r="L556" s="42" t="n">
        <x:v>0.5080873681233358</x:v>
      </x:c>
      <x:c r="M556" s="44" t="n">
        <x:v>-921.7999999999998</x:v>
      </x:c>
      <x:c r="N556" s="41" t="n">
        <x:v>-0.9681654430685528</x:v>
      </x:c>
    </x:row>
    <x:row r="557" ht="15" hidden="0" customHeight="1">
      <x:c r="A557" s="43" t="str">
        <x:v>2026-03-21</x:v>
      </x:c>
      <x:c r="B557" s="39" t="str">
        <x:v>Outbound Sales</x:v>
      </x:c>
      <x:c r="C557" s="39" t="n">
        <x:v>3481</x:v>
      </x:c>
      <x:c r="D557" s="39" t="n">
        <x:v>198</x:v>
      </x:c>
      <x:c r="E557" s="39" t="n">
        <x:v>2</x:v>
      </x:c>
      <x:c r="F557" s="44" t="n">
        <x:v>1221.69</x:v>
      </x:c>
      <x:c r="G557" s="44" t="n">
        <x:v>1308.41</x:v>
      </x:c>
      <x:c r="H557" s="39" t="n">
        <x:v>6</x:v>
      </x:c>
      <x:c r="I557" s="41" t="n">
        <x:v>0.05688020683711577</x:v>
      </x:c>
      <x:c r="J557" s="41" t="n">
        <x:v>0.010101010101010102</x:v>
      </x:c>
      <x:c r="K557" s="44" t="n">
        <x:v>610.845</x:v>
      </x:c>
      <x:c r="L557" s="42" t="n">
        <x:v>1.0709836374202948</x:v>
      </x:c>
      <x:c r="M557" s="44" t="n">
        <x:v>86.72000000000003</x:v>
      </x:c>
      <x:c r="N557" s="41" t="n">
        <x:v>0.06627891868756737</x:v>
      </x:c>
    </x:row>
    <x:row r="558" ht="15" hidden="0" customHeight="1">
      <x:c r="A558" s="43" t="str">
        <x:v>2026-03-21</x:v>
      </x:c>
      <x:c r="B558" s="39" t="str">
        <x:v>Paid Search</x:v>
      </x:c>
      <x:c r="C558" s="39" t="n">
        <x:v>2731</x:v>
      </x:c>
      <x:c r="D558" s="39" t="n">
        <x:v>167</x:v>
      </x:c>
      <x:c r="E558" s="39" t="n">
        <x:v>2</x:v>
      </x:c>
      <x:c r="F558" s="44" t="n">
        <x:v>3211.3</x:v>
      </x:c>
      <x:c r="G558" s="44" t="n">
        <x:v>957.46</x:v>
      </x:c>
      <x:c r="H558" s="39" t="n">
        <x:v>6</x:v>
      </x:c>
      <x:c r="I558" s="41" t="n">
        <x:v>0.06114976199194434</x:v>
      </x:c>
      <x:c r="J558" s="41" t="n">
        <x:v>0.011976047904191617</x:v>
      </x:c>
      <x:c r="K558" s="44" t="n">
        <x:v>1605.65</x:v>
      </x:c>
      <x:c r="L558" s="42" t="n">
        <x:v>0.2981533958210071</x:v>
      </x:c>
      <x:c r="M558" s="44" t="n">
        <x:v>-2253.84</x:v>
      </x:c>
      <x:c r="N558" s="41" t="n">
        <x:v>-2.353978234077664</x:v>
      </x:c>
    </x:row>
    <x:row r="559" ht="15" hidden="0" customHeight="1">
      <x:c r="A559" s="43" t="str">
        <x:v>2026-03-21</x:v>
      </x:c>
      <x:c r="B559" s="39" t="str">
        <x:v>Partnerships</x:v>
      </x:c>
      <x:c r="C559" s="39" t="n">
        <x:v>2243</x:v>
      </x:c>
      <x:c r="D559" s="39" t="n">
        <x:v>75</x:v>
      </x:c>
      <x:c r="E559" s="39" t="n">
        <x:v>1</x:v>
      </x:c>
      <x:c r="F559" s="44" t="n">
        <x:v>1148.18</x:v>
      </x:c>
      <x:c r="G559" s="44" t="n">
        <x:v>293.17</x:v>
      </x:c>
      <x:c r="H559" s="39" t="n">
        <x:v>6</x:v>
      </x:c>
      <x:c r="I559" s="41" t="n">
        <x:v>0.03343736067766384</x:v>
      </x:c>
      <x:c r="J559" s="41" t="n">
        <x:v>0.013333333333333334</x:v>
      </x:c>
      <x:c r="K559" s="44" t="n">
        <x:v>1148.18</x:v>
      </x:c>
      <x:c r="L559" s="42" t="n">
        <x:v>0.25533452942918355</x:v>
      </x:c>
      <x:c r="M559" s="44" t="n">
        <x:v>-855.01</x:v>
      </x:c>
      <x:c r="N559" s="41" t="n">
        <x:v>-2.9164307398437765</x:v>
      </x:c>
    </x:row>
    <x:row r="560" ht="15" hidden="0" customHeight="1">
      <x:c r="A560" s="43" t="str">
        <x:v>2026-03-21</x:v>
      </x:c>
      <x:c r="B560" s="39" t="str">
        <x:v>Referral</x:v>
      </x:c>
      <x:c r="C560" s="39" t="n">
        <x:v>2848</x:v>
      </x:c>
      <x:c r="D560" s="39" t="n">
        <x:v>220</x:v>
      </x:c>
      <x:c r="E560" s="39" t="n">
        <x:v>6</x:v>
      </x:c>
      <x:c r="F560" s="44" t="n">
        <x:v>366.57</x:v>
      </x:c>
      <x:c r="G560" s="44" t="n">
        <x:v>3158.09</x:v>
      </x:c>
      <x:c r="H560" s="39" t="n">
        <x:v>6</x:v>
      </x:c>
      <x:c r="I560" s="41" t="n">
        <x:v>0.07724719101123595</x:v>
      </x:c>
      <x:c r="J560" s="41" t="n">
        <x:v>0.02727272727272727</x:v>
      </x:c>
      <x:c r="K560" s="44" t="n">
        <x:v>61.095</x:v>
      </x:c>
      <x:c r="L560" s="42" t="n">
        <x:v>8.615244018877705</x:v>
      </x:c>
      <x:c r="M560" s="44" t="n">
        <x:v>2791.52</x:v>
      </x:c>
      <x:c r="N560" s="41" t="n">
        <x:v>0.8839266772004597</x:v>
      </x:c>
    </x:row>
    <x:row r="561" ht="15" hidden="0" customHeight="1">
      <x:c r="A561" s="43" t="str">
        <x:v>2026-03-21</x:v>
      </x:c>
      <x:c r="B561" s="39" t="str">
        <x:v>SEO</x:v>
      </x:c>
      <x:c r="C561" s="39" t="n">
        <x:v>1318</x:v>
      </x:c>
      <x:c r="D561" s="39" t="n">
        <x:v>140</x:v>
      </x:c>
      <x:c r="E561" s="39" t="n">
        <x:v>1</x:v>
      </x:c>
      <x:c r="F561" s="44" t="n">
        <x:v>1248</x:v>
      </x:c>
      <x:c r="G561" s="44" t="n">
        <x:v>250.31</x:v>
      </x:c>
      <x:c r="H561" s="39" t="n">
        <x:v>6</x:v>
      </x:c>
      <x:c r="I561" s="41" t="n">
        <x:v>0.1062215477996965</x:v>
      </x:c>
      <x:c r="J561" s="41" t="n">
        <x:v>0.007142857142857143</x:v>
      </x:c>
      <x:c r="K561" s="44" t="n">
        <x:v>1248</x:v>
      </x:c>
      <x:c r="L561" s="42" t="n">
        <x:v>0.20056891025641027</x:v>
      </x:c>
      <x:c r="M561" s="44" t="n">
        <x:v>-997.69</x:v>
      </x:c>
      <x:c r="N561" s="41" t="n">
        <x:v>-3.9858175861931207</x:v>
      </x:c>
    </x:row>
    <x:row r="562" ht="15" hidden="0" customHeight="1">
      <x:c r="A562" s="43" t="str">
        <x:v>2026-03-22</x:v>
      </x:c>
      <x:c r="B562" s="39" t="str">
        <x:v>Content</x:v>
      </x:c>
      <x:c r="C562" s="39" t="n">
        <x:v>2022</x:v>
      </x:c>
      <x:c r="D562" s="39" t="n">
        <x:v>91</x:v>
      </x:c>
      <x:c r="E562" s="39" t="n">
        <x:v>0</x:v>
      </x:c>
      <x:c r="F562" s="44" t="n">
        <x:v>898.65</x:v>
      </x:c>
      <x:c r="G562" s="44" t="n">
        <x:v>0</x:v>
      </x:c>
      <x:c r="H562" s="39" t="n">
        <x:v>6</x:v>
      </x:c>
      <x:c r="I562" s="41" t="n">
        <x:v>0.04500494559841741</x:v>
      </x:c>
      <x:c r="J562" s="41" t="n">
        <x:v>0</x:v>
      </x:c>
      <x:c r="K562" s="44"/>
      <x:c r="L562" s="42" t="n">
        <x:v>0</x:v>
      </x:c>
      <x:c r="M562" s="44" t="n">
        <x:v>-898.65</x:v>
      </x:c>
      <x:c r="N562" s="41"/>
    </x:row>
    <x:row r="563" ht="15" hidden="0" customHeight="1">
      <x:c r="A563" s="43" t="str">
        <x:v>2026-03-22</x:v>
      </x:c>
      <x:c r="B563" s="39" t="str">
        <x:v>LinkedIn Ads</x:v>
      </x:c>
      <x:c r="C563" s="39" t="n">
        <x:v>1843</x:v>
      </x:c>
      <x:c r="D563" s="39" t="n">
        <x:v>83</x:v>
      </x:c>
      <x:c r="E563" s="39" t="n">
        <x:v>1</x:v>
      </x:c>
      <x:c r="F563" s="44" t="n">
        <x:v>1352.1200000000001</x:v>
      </x:c>
      <x:c r="G563" s="44" t="n">
        <x:v>320.15</x:v>
      </x:c>
      <x:c r="H563" s="39" t="n">
        <x:v>6</x:v>
      </x:c>
      <x:c r="I563" s="41" t="n">
        <x:v>0.04503526858383071</x:v>
      </x:c>
      <x:c r="J563" s="41" t="n">
        <x:v>0.012048192771084338</x:v>
      </x:c>
      <x:c r="K563" s="44" t="n">
        <x:v>1352.1200000000001</x:v>
      </x:c>
      <x:c r="L563" s="42" t="n">
        <x:v>0.23677632162825782</x:v>
      </x:c>
      <x:c r="M563" s="44" t="n">
        <x:v>-1031.9700000000003</x:v>
      </x:c>
      <x:c r="N563" s="41" t="n">
        <x:v>-3.223395283460879</x:v>
      </x:c>
    </x:row>
    <x:row r="564" ht="15" hidden="0" customHeight="1">
      <x:c r="A564" s="43" t="str">
        <x:v>2026-03-22</x:v>
      </x:c>
      <x:c r="B564" s="39" t="str">
        <x:v>Outbound Sales</x:v>
      </x:c>
      <x:c r="C564" s="39" t="n">
        <x:v>2709</x:v>
      </x:c>
      <x:c r="D564" s="39" t="n">
        <x:v>126</x:v>
      </x:c>
      <x:c r="E564" s="39" t="n">
        <x:v>1</x:v>
      </x:c>
      <x:c r="F564" s="44" t="n">
        <x:v>1475.5</x:v>
      </x:c>
      <x:c r="G564" s="44" t="n">
        <x:v>814.56</x:v>
      </x:c>
      <x:c r="H564" s="39" t="n">
        <x:v>6</x:v>
      </x:c>
      <x:c r="I564" s="41" t="n">
        <x:v>0.046511627906976744</x:v>
      </x:c>
      <x:c r="J564" s="41" t="n">
        <x:v>0.007936507936507936</x:v>
      </x:c>
      <x:c r="K564" s="44" t="n">
        <x:v>1475.5</x:v>
      </x:c>
      <x:c r="L564" s="42" t="n">
        <x:v>0.5520569298542867</x:v>
      </x:c>
      <x:c r="M564" s="44" t="n">
        <x:v>-660.94</x:v>
      </x:c>
      <x:c r="N564" s="41" t="n">
        <x:v>-0.8114073855824004</x:v>
      </x:c>
    </x:row>
    <x:row r="565" ht="15" hidden="0" customHeight="1">
      <x:c r="A565" s="43" t="str">
        <x:v>2026-03-22</x:v>
      </x:c>
      <x:c r="B565" s="39" t="str">
        <x:v>Paid Search</x:v>
      </x:c>
      <x:c r="C565" s="39" t="n">
        <x:v>3539</x:v>
      </x:c>
      <x:c r="D565" s="39" t="n">
        <x:v>241</x:v>
      </x:c>
      <x:c r="E565" s="39" t="n">
        <x:v>3</x:v>
      </x:c>
      <x:c r="F565" s="44" t="n">
        <x:v>2277.84</x:v>
      </x:c>
      <x:c r="G565" s="44" t="n">
        <x:v>1580.3500000000001</x:v>
      </x:c>
      <x:c r="H565" s="39" t="n">
        <x:v>6</x:v>
      </x:c>
      <x:c r="I565" s="41" t="n">
        <x:v>0.0680983328623905</x:v>
      </x:c>
      <x:c r="J565" s="41" t="n">
        <x:v>0.012448132780082987</x:v>
      </x:c>
      <x:c r="K565" s="44" t="n">
        <x:v>759.2800000000001</x:v>
      </x:c>
      <x:c r="L565" s="42" t="n">
        <x:v>0.6937932427211745</x:v>
      </x:c>
      <x:c r="M565" s="44" t="n">
        <x:v>-697.49</x:v>
      </x:c>
      <x:c r="N565" s="41" t="n">
        <x:v>-0.4413515993292625</x:v>
      </x:c>
    </x:row>
    <x:row r="566" ht="15" hidden="0" customHeight="1">
      <x:c r="A566" s="43" t="str">
        <x:v>2026-03-22</x:v>
      </x:c>
      <x:c r="B566" s="39" t="str">
        <x:v>Partnerships</x:v>
      </x:c>
      <x:c r="C566" s="39" t="n">
        <x:v>2448</x:v>
      </x:c>
      <x:c r="D566" s="39" t="n">
        <x:v>136</x:v>
      </x:c>
      <x:c r="E566" s="39" t="n">
        <x:v>2</x:v>
      </x:c>
      <x:c r="F566" s="44" t="n">
        <x:v>1090.53</x:v>
      </x:c>
      <x:c r="G566" s="44" t="n">
        <x:v>1237.5</x:v>
      </x:c>
      <x:c r="H566" s="39" t="n">
        <x:v>6</x:v>
      </x:c>
      <x:c r="I566" s="41" t="n">
        <x:v>0.05555555555555555</x:v>
      </x:c>
      <x:c r="J566" s="41" t="n">
        <x:v>0.014705882352941176</x:v>
      </x:c>
      <x:c r="K566" s="44" t="n">
        <x:v>545.265</x:v>
      </x:c>
      <x:c r="L566" s="42" t="n">
        <x:v>1.1347693323429893</x:v>
      </x:c>
      <x:c r="M566" s="44" t="n">
        <x:v>146.97000000000003</x:v>
      </x:c>
      <x:c r="N566" s="41" t="n">
        <x:v>0.11876363636363639</x:v>
      </x:c>
    </x:row>
    <x:row r="567" ht="15" hidden="0" customHeight="1">
      <x:c r="A567" s="43" t="str">
        <x:v>2026-03-22</x:v>
      </x:c>
      <x:c r="B567" s="39" t="str">
        <x:v>Referral</x:v>
      </x:c>
      <x:c r="C567" s="39" t="n">
        <x:v>2198</x:v>
      </x:c>
      <x:c r="D567" s="39" t="n">
        <x:v>264</x:v>
      </x:c>
      <x:c r="E567" s="39" t="n">
        <x:v>6</x:v>
      </x:c>
      <x:c r="F567" s="44" t="n">
        <x:v>441.70000000000005</x:v>
      </x:c>
      <x:c r="G567" s="44" t="n">
        <x:v>3202.5</x:v>
      </x:c>
      <x:c r="H567" s="39" t="n">
        <x:v>6</x:v>
      </x:c>
      <x:c r="I567" s="41" t="n">
        <x:v>0.12010919017288443</x:v>
      </x:c>
      <x:c r="J567" s="41" t="n">
        <x:v>0.022727272727272728</x:v>
      </x:c>
      <x:c r="K567" s="44" t="n">
        <x:v>73.61666666666667</x:v>
      </x:c>
      <x:c r="L567" s="42" t="n">
        <x:v>7.25039619651347</x:v>
      </x:c>
      <x:c r="M567" s="44" t="n">
        <x:v>2760.8</x:v>
      </x:c>
      <x:c r="N567" s="41" t="n">
        <x:v>0.8620765027322405</x:v>
      </x:c>
    </x:row>
    <x:row r="568" ht="15" hidden="0" customHeight="1">
      <x:c r="A568" s="43" t="str">
        <x:v>2026-03-22</x:v>
      </x:c>
      <x:c r="B568" s="39" t="str">
        <x:v>SEO</x:v>
      </x:c>
      <x:c r="C568" s="39" t="n">
        <x:v>1918</x:v>
      </x:c>
      <x:c r="D568" s="39" t="n">
        <x:v>68</x:v>
      </x:c>
      <x:c r="E568" s="39" t="n">
        <x:v>1</x:v>
      </x:c>
      <x:c r="F568" s="44" t="n">
        <x:v>1055.3300000000002</x:v>
      </x:c>
      <x:c r="G568" s="44" t="n">
        <x:v>326.81</x:v>
      </x:c>
      <x:c r="H568" s="39" t="n">
        <x:v>6</x:v>
      </x:c>
      <x:c r="I568" s="41" t="n">
        <x:v>0.035453597497393116</x:v>
      </x:c>
      <x:c r="J568" s="41" t="n">
        <x:v>0.014705882352941176</x:v>
      </x:c>
      <x:c r="K568" s="44" t="n">
        <x:v>1055.3300000000002</x:v>
      </x:c>
      <x:c r="L568" s="42" t="n">
        <x:v>0.30967564648024787</x:v>
      </x:c>
      <x:c r="M568" s="44" t="n">
        <x:v>-728.5200000000002</x:v>
      </x:c>
      <x:c r="N568" s="41" t="n">
        <x:v>-2.2291851534530776</x:v>
      </x:c>
    </x:row>
    <x:row r="569" ht="15" hidden="0" customHeight="1">
      <x:c r="A569" s="43" t="str">
        <x:v>2026-03-23</x:v>
      </x:c>
      <x:c r="B569" s="39" t="str">
        <x:v>Content</x:v>
      </x:c>
      <x:c r="C569" s="39" t="n">
        <x:v>2396</x:v>
      </x:c>
      <x:c r="D569" s="39" t="n">
        <x:v>173</x:v>
      </x:c>
      <x:c r="E569" s="39" t="n">
        <x:v>2</x:v>
      </x:c>
      <x:c r="F569" s="44" t="n">
        <x:v>1059.68</x:v>
      </x:c>
      <x:c r="G569" s="44" t="n">
        <x:v>668.99</x:v>
      </x:c>
      <x:c r="H569" s="39" t="n">
        <x:v>6</x:v>
      </x:c>
      <x:c r="I569" s="41" t="n">
        <x:v>0.07220367278797997</x:v>
      </x:c>
      <x:c r="J569" s="41" t="n">
        <x:v>0.011560693641618497</x:v>
      </x:c>
      <x:c r="K569" s="44" t="n">
        <x:v>529.84</x:v>
      </x:c>
      <x:c r="L569" s="42" t="n">
        <x:v>0.6313132266344557</x:v>
      </x:c>
      <x:c r="M569" s="44" t="n">
        <x:v>-390.69000000000005</x:v>
      </x:c>
      <x:c r="N569" s="41" t="n">
        <x:v>-0.5839997608334954</x:v>
      </x:c>
    </x:row>
    <x:row r="570" ht="15" hidden="0" customHeight="1">
      <x:c r="A570" s="43" t="str">
        <x:v>2026-03-23</x:v>
      </x:c>
      <x:c r="B570" s="39" t="str">
        <x:v>LinkedIn Ads</x:v>
      </x:c>
      <x:c r="C570" s="39" t="n">
        <x:v>2266</x:v>
      </x:c>
      <x:c r="D570" s="39" t="n">
        <x:v>134</x:v>
      </x:c>
      <x:c r="E570" s="39" t="n">
        <x:v>1</x:v>
      </x:c>
      <x:c r="F570" s="44" t="n">
        <x:v>1329.8899999999999</x:v>
      </x:c>
      <x:c r="G570" s="44" t="n">
        <x:v>350.88</x:v>
      </x:c>
      <x:c r="H570" s="39" t="n">
        <x:v>6</x:v>
      </x:c>
      <x:c r="I570" s="41" t="n">
        <x:v>0.05913503971756399</x:v>
      </x:c>
      <x:c r="J570" s="41" t="n">
        <x:v>0.007462686567164179</x:v>
      </x:c>
      <x:c r="K570" s="44" t="n">
        <x:v>1329.8899999999999</x:v>
      </x:c>
      <x:c r="L570" s="42" t="n">
        <x:v>0.2638413703389002</x:v>
      </x:c>
      <x:c r="M570" s="44" t="n">
        <x:v>-979.0099999999999</x:v>
      </x:c>
      <x:c r="N570" s="41" t="n">
        <x:v>-2.7901561787505695</x:v>
      </x:c>
    </x:row>
    <x:row r="571" ht="15" hidden="0" customHeight="1">
      <x:c r="A571" s="43" t="str">
        <x:v>2026-03-23</x:v>
      </x:c>
      <x:c r="B571" s="39" t="str">
        <x:v>Outbound Sales</x:v>
      </x:c>
      <x:c r="C571" s="39" t="n">
        <x:v>3030</x:v>
      </x:c>
      <x:c r="D571" s="39" t="n">
        <x:v>121</x:v>
      </x:c>
      <x:c r="E571" s="39" t="n">
        <x:v>1</x:v>
      </x:c>
      <x:c r="F571" s="44" t="n">
        <x:v>1591.84</x:v>
      </x:c>
      <x:c r="G571" s="44" t="n">
        <x:v>892.83</x:v>
      </x:c>
      <x:c r="H571" s="39" t="n">
        <x:v>6</x:v>
      </x:c>
      <x:c r="I571" s="41" t="n">
        <x:v>0.03993399339933994</x:v>
      </x:c>
      <x:c r="J571" s="41" t="n">
        <x:v>0.008264462809917356</x:v>
      </x:c>
      <x:c r="K571" s="44" t="n">
        <x:v>1591.84</x:v>
      </x:c>
      <x:c r="L571" s="42" t="n">
        <x:v>0.5608792340938789</x:v>
      </x:c>
      <x:c r="M571" s="44" t="n">
        <x:v>-699.0099999999999</x:v>
      </x:c>
      <x:c r="N571" s="41" t="n">
        <x:v>-0.7829150006160186</x:v>
      </x:c>
    </x:row>
    <x:row r="572" ht="15" hidden="0" customHeight="1">
      <x:c r="A572" s="43" t="str">
        <x:v>2026-03-23</x:v>
      </x:c>
      <x:c r="B572" s="39" t="str">
        <x:v>Paid Search</x:v>
      </x:c>
      <x:c r="C572" s="39" t="n">
        <x:v>2721</x:v>
      </x:c>
      <x:c r="D572" s="39" t="n">
        <x:v>238</x:v>
      </x:c>
      <x:c r="E572" s="39" t="n">
        <x:v>3</x:v>
      </x:c>
      <x:c r="F572" s="44" t="n">
        <x:v>2136.98</x:v>
      </x:c>
      <x:c r="G572" s="44" t="n">
        <x:v>1235.38</x:v>
      </x:c>
      <x:c r="H572" s="39" t="n">
        <x:v>6</x:v>
      </x:c>
      <x:c r="I572" s="41" t="n">
        <x:v>0.0874678427048879</x:v>
      </x:c>
      <x:c r="J572" s="41" t="n">
        <x:v>0.012605042016806723</x:v>
      </x:c>
      <x:c r="K572" s="44" t="n">
        <x:v>712.3266666666667</x:v>
      </x:c>
      <x:c r="L572" s="42" t="n">
        <x:v>0.5780961918221041</x:v>
      </x:c>
      <x:c r="M572" s="44" t="n">
        <x:v>-901.5999999999999</x:v>
      </x:c>
      <x:c r="N572" s="41" t="n">
        <x:v>-0.7298159270831646</x:v>
      </x:c>
    </x:row>
    <x:row r="573" ht="15" hidden="0" customHeight="1">
      <x:c r="A573" s="43" t="str">
        <x:v>2026-03-23</x:v>
      </x:c>
      <x:c r="B573" s="39" t="str">
        <x:v>Partnerships</x:v>
      </x:c>
      <x:c r="C573" s="39" t="n">
        <x:v>2860</x:v>
      </x:c>
      <x:c r="D573" s="39" t="n">
        <x:v>130</x:v>
      </x:c>
      <x:c r="E573" s="39" t="n">
        <x:v>2</x:v>
      </x:c>
      <x:c r="F573" s="44" t="n">
        <x:v>1143.27</x:v>
      </x:c>
      <x:c r="G573" s="44" t="n">
        <x:v>1191.49</x:v>
      </x:c>
      <x:c r="H573" s="39" t="n">
        <x:v>6</x:v>
      </x:c>
      <x:c r="I573" s="41" t="n">
        <x:v>0.045454545454545456</x:v>
      </x:c>
      <x:c r="J573" s="41" t="n">
        <x:v>0.015384615384615385</x:v>
      </x:c>
      <x:c r="K573" s="44" t="n">
        <x:v>571.635</x:v>
      </x:c>
      <x:c r="L573" s="42" t="n">
        <x:v>1.0421772634635738</x:v>
      </x:c>
      <x:c r="M573" s="44" t="n">
        <x:v>48.22000000000003</x:v>
      </x:c>
      <x:c r="N573" s="41" t="n">
        <x:v>0.04047033546232031</x:v>
      </x:c>
    </x:row>
    <x:row r="574" ht="15" hidden="0" customHeight="1">
      <x:c r="A574" s="43" t="str">
        <x:v>2026-03-23</x:v>
      </x:c>
      <x:c r="B574" s="39" t="str">
        <x:v>Referral</x:v>
      </x:c>
      <x:c r="C574" s="39" t="n">
        <x:v>2225</x:v>
      </x:c>
      <x:c r="D574" s="39" t="n">
        <x:v>165</x:v>
      </x:c>
      <x:c r="E574" s="39" t="n">
        <x:v>5</x:v>
      </x:c>
      <x:c r="F574" s="44" t="n">
        <x:v>650.6700000000001</x:v>
      </x:c>
      <x:c r="G574" s="44" t="n">
        <x:v>2829.04</x:v>
      </x:c>
      <x:c r="H574" s="39" t="n">
        <x:v>6</x:v>
      </x:c>
      <x:c r="I574" s="41" t="n">
        <x:v>0.07415730337078652</x:v>
      </x:c>
      <x:c r="J574" s="41" t="n">
        <x:v>0.030303030303030304</x:v>
      </x:c>
      <x:c r="K574" s="44" t="n">
        <x:v>130.13400000000001</x:v>
      </x:c>
      <x:c r="L574" s="42" t="n">
        <x:v>4.347887562051423</x:v>
      </x:c>
      <x:c r="M574" s="44" t="n">
        <x:v>2178.37</x:v>
      </x:c>
      <x:c r="N574" s="41" t="n">
        <x:v>0.7700032519865396</x:v>
      </x:c>
    </x:row>
    <x:row r="575" ht="15" hidden="0" customHeight="1">
      <x:c r="A575" s="43" t="str">
        <x:v>2026-03-23</x:v>
      </x:c>
      <x:c r="B575" s="39" t="str">
        <x:v>SEO</x:v>
      </x:c>
      <x:c r="C575" s="39" t="n">
        <x:v>1840</x:v>
      </x:c>
      <x:c r="D575" s="39" t="n">
        <x:v>119</x:v>
      </x:c>
      <x:c r="E575" s="39" t="n">
        <x:v>3</x:v>
      </x:c>
      <x:c r="F575" s="44" t="n">
        <x:v>1261.86</x:v>
      </x:c>
      <x:c r="G575" s="44" t="n">
        <x:v>1195.83</x:v>
      </x:c>
      <x:c r="H575" s="39" t="n">
        <x:v>6</x:v>
      </x:c>
      <x:c r="I575" s="41" t="n">
        <x:v>0.06467391304347826</x:v>
      </x:c>
      <x:c r="J575" s="41" t="n">
        <x:v>0.025210084033613446</x:v>
      </x:c>
      <x:c r="K575" s="44" t="n">
        <x:v>420.61999999999995</x:v>
      </x:c>
      <x:c r="L575" s="42" t="n">
        <x:v>0.9476724834767724</x:v>
      </x:c>
      <x:c r="M575" s="44" t="n">
        <x:v>-66.02999999999997</x:v>
      </x:c>
      <x:c r="N575" s="41" t="n">
        <x:v>-0.05521687865332027</x:v>
      </x:c>
    </x:row>
    <x:row r="576" ht="15" hidden="0" customHeight="1">
      <x:c r="A576" s="43" t="str">
        <x:v>2026-03-24</x:v>
      </x:c>
      <x:c r="B576" s="39" t="str">
        <x:v>Content</x:v>
      </x:c>
      <x:c r="C576" s="39" t="n">
        <x:v>2164</x:v>
      </x:c>
      <x:c r="D576" s="39" t="n">
        <x:v>128</x:v>
      </x:c>
      <x:c r="E576" s="39" t="n">
        <x:v>3</x:v>
      </x:c>
      <x:c r="F576" s="44" t="n">
        <x:v>1661.8200000000002</x:v>
      </x:c>
      <x:c r="G576" s="44" t="n">
        <x:v>1668.65</x:v>
      </x:c>
      <x:c r="H576" s="39" t="n">
        <x:v>6</x:v>
      </x:c>
      <x:c r="I576" s="41" t="n">
        <x:v>0.059149722735674676</x:v>
      </x:c>
      <x:c r="J576" s="41" t="n">
        <x:v>0.0234375</x:v>
      </x:c>
      <x:c r="K576" s="44" t="n">
        <x:v>553.94</x:v>
      </x:c>
      <x:c r="L576" s="42" t="n">
        <x:v>1.0041099517396588</x:v>
      </x:c>
      <x:c r="M576" s="44" t="n">
        <x:v>6.829999999999927</x:v>
      </x:c>
      <x:c r="N576" s="41" t="n">
        <x:v>0.004093129176280182</x:v>
      </x:c>
    </x:row>
    <x:row r="577" ht="15" hidden="0" customHeight="1">
      <x:c r="A577" s="43" t="str">
        <x:v>2026-03-24</x:v>
      </x:c>
      <x:c r="B577" s="39" t="str">
        <x:v>LinkedIn Ads</x:v>
      </x:c>
      <x:c r="C577" s="39" t="n">
        <x:v>2777</x:v>
      </x:c>
      <x:c r="D577" s="39" t="n">
        <x:v>180</x:v>
      </x:c>
      <x:c r="E577" s="39" t="n">
        <x:v>3</x:v>
      </x:c>
      <x:c r="F577" s="44" t="n">
        <x:v>2401.57</x:v>
      </x:c>
      <x:c r="G577" s="44" t="n">
        <x:v>1643.6100000000001</x:v>
      </x:c>
      <x:c r="H577" s="39" t="n">
        <x:v>6</x:v>
      </x:c>
      <x:c r="I577" s="41" t="n">
        <x:v>0.06481814908174288</x:v>
      </x:c>
      <x:c r="J577" s="41" t="n">
        <x:v>0.016666666666666666</x:v>
      </x:c>
      <x:c r="K577" s="44" t="n">
        <x:v>800.5233333333334</x:v>
      </x:c>
      <x:c r="L577" s="42" t="n">
        <x:v>0.6843897950090982</x:v>
      </x:c>
      <x:c r="M577" s="44" t="n">
        <x:v>-757.96</x:v>
      </x:c>
      <x:c r="N577" s="41" t="n">
        <x:v>-0.4611556269431313</x:v>
      </x:c>
    </x:row>
    <x:row r="578" ht="15" hidden="0" customHeight="1">
      <x:c r="A578" s="43" t="str">
        <x:v>2026-03-24</x:v>
      </x:c>
      <x:c r="B578" s="39" t="str">
        <x:v>Outbound Sales</x:v>
      </x:c>
      <x:c r="C578" s="39" t="n">
        <x:v>3443</x:v>
      </x:c>
      <x:c r="D578" s="39" t="n">
        <x:v>313</x:v>
      </x:c>
      <x:c r="E578" s="39" t="n">
        <x:v>2</x:v>
      </x:c>
      <x:c r="F578" s="44" t="n">
        <x:v>2402.14</x:v>
      </x:c>
      <x:c r="G578" s="44" t="n">
        <x:v>1621.78</x:v>
      </x:c>
      <x:c r="H578" s="39" t="n">
        <x:v>6</x:v>
      </x:c>
      <x:c r="I578" s="41" t="n">
        <x:v>0.09090909090909091</x:v>
      </x:c>
      <x:c r="J578" s="41" t="n">
        <x:v>0.006389776357827476</x:v>
      </x:c>
      <x:c r="K578" s="44" t="n">
        <x:v>1201.07</x:v>
      </x:c>
      <x:c r="L578" s="42" t="n">
        <x:v>0.6751396671301423</x:v>
      </x:c>
      <x:c r="M578" s="44" t="n">
        <x:v>-780.3599999999999</x:v>
      </x:c>
      <x:c r="N578" s="41" t="n">
        <x:v>-0.48117500524115475</x:v>
      </x:c>
    </x:row>
    <x:row r="579" ht="15" hidden="0" customHeight="1">
      <x:c r="A579" s="43" t="str">
        <x:v>2026-03-24</x:v>
      </x:c>
      <x:c r="B579" s="39" t="str">
        <x:v>Paid Search</x:v>
      </x:c>
      <x:c r="C579" s="39" t="n">
        <x:v>2615</x:v>
      </x:c>
      <x:c r="D579" s="39" t="n">
        <x:v>187</x:v>
      </x:c>
      <x:c r="E579" s="39" t="n">
        <x:v>3</x:v>
      </x:c>
      <x:c r="F579" s="44" t="n">
        <x:v>3973.84</x:v>
      </x:c>
      <x:c r="G579" s="44" t="n">
        <x:v>1653.44</x:v>
      </x:c>
      <x:c r="H579" s="39" t="n">
        <x:v>6</x:v>
      </x:c>
      <x:c r="I579" s="41" t="n">
        <x:v>0.07151051625239006</x:v>
      </x:c>
      <x:c r="J579" s="41" t="n">
        <x:v>0.016042780748663103</x:v>
      </x:c>
      <x:c r="K579" s="44" t="n">
        <x:v>1324.6133333333335</x:v>
      </x:c>
      <x:c r="L579" s="42" t="n">
        <x:v>0.4160811708574074</x:v>
      </x:c>
      <x:c r="M579" s="44" t="n">
        <x:v>-2320.4</x:v>
      </x:c>
      <x:c r="N579" s="41" t="n">
        <x:v>-1.4033772014708727</x:v>
      </x:c>
    </x:row>
    <x:row r="580" ht="15" hidden="0" customHeight="1">
      <x:c r="A580" s="43" t="str">
        <x:v>2026-03-24</x:v>
      </x:c>
      <x:c r="B580" s="39" t="str">
        <x:v>Partnerships</x:v>
      </x:c>
      <x:c r="C580" s="39" t="n">
        <x:v>2545</x:v>
      </x:c>
      <x:c r="D580" s="39" t="n">
        <x:v>135</x:v>
      </x:c>
      <x:c r="E580" s="39" t="n">
        <x:v>2</x:v>
      </x:c>
      <x:c r="F580" s="44" t="n">
        <x:v>1840.31</x:v>
      </x:c>
      <x:c r="G580" s="44" t="n">
        <x:v>1272.71</x:v>
      </x:c>
      <x:c r="H580" s="39" t="n">
        <x:v>6</x:v>
      </x:c>
      <x:c r="I580" s="41" t="n">
        <x:v>0.05304518664047151</x:v>
      </x:c>
      <x:c r="J580" s="41" t="n">
        <x:v>0.014814814814814815</x:v>
      </x:c>
      <x:c r="K580" s="44" t="n">
        <x:v>920.155</x:v>
      </x:c>
      <x:c r="L580" s="42" t="n">
        <x:v>0.691573702256685</x:v>
      </x:c>
      <x:c r="M580" s="44" t="n">
        <x:v>-567.5999999999999</x:v>
      </x:c>
      <x:c r="N580" s="41" t="n">
        <x:v>-0.445977481122958</x:v>
      </x:c>
    </x:row>
    <x:row r="581" ht="15" hidden="0" customHeight="1">
      <x:c r="A581" s="43" t="str">
        <x:v>2026-03-24</x:v>
      </x:c>
      <x:c r="B581" s="39" t="str">
        <x:v>Referral</x:v>
      </x:c>
      <x:c r="C581" s="39" t="n">
        <x:v>3000</x:v>
      </x:c>
      <x:c r="D581" s="39" t="n">
        <x:v>242</x:v>
      </x:c>
      <x:c r="E581" s="39" t="n">
        <x:v>7</x:v>
      </x:c>
      <x:c r="F581" s="44" t="n">
        <x:v>866.99</x:v>
      </x:c>
      <x:c r="G581" s="44" t="n">
        <x:v>3081.4700000000003</x:v>
      </x:c>
      <x:c r="H581" s="39" t="n">
        <x:v>6</x:v>
      </x:c>
      <x:c r="I581" s="41" t="n">
        <x:v>0.08066666666666666</x:v>
      </x:c>
      <x:c r="J581" s="41" t="n">
        <x:v>0.028925619834710745</x:v>
      </x:c>
      <x:c r="K581" s="44" t="n">
        <x:v>123.85571428571428</x:v>
      </x:c>
      <x:c r="L581" s="42" t="n">
        <x:v>3.5542163116068237</x:v>
      </x:c>
      <x:c r="M581" s="44" t="n">
        <x:v>2214.4800000000005</x:v>
      </x:c>
      <x:c r="N581" s="41" t="n">
        <x:v>0.7186440237938387</x:v>
      </x:c>
    </x:row>
    <x:row r="582" ht="15" hidden="0" customHeight="1">
      <x:c r="A582" s="43" t="str">
        <x:v>2026-03-24</x:v>
      </x:c>
      <x:c r="B582" s="39" t="str">
        <x:v>SEO</x:v>
      </x:c>
      <x:c r="C582" s="39" t="n">
        <x:v>2011</x:v>
      </x:c>
      <x:c r="D582" s="39" t="n">
        <x:v>116</x:v>
      </x:c>
      <x:c r="E582" s="39" t="n">
        <x:v>3</x:v>
      </x:c>
      <x:c r="F582" s="44" t="n">
        <x:v>1981.33</x:v>
      </x:c>
      <x:c r="G582" s="44" t="n">
        <x:v>1558.19</x:v>
      </x:c>
      <x:c r="H582" s="39" t="n">
        <x:v>6</x:v>
      </x:c>
      <x:c r="I582" s="41" t="n">
        <x:v>0.057682744903033316</x:v>
      </x:c>
      <x:c r="J582" s="41" t="n">
        <x:v>0.02586206896551724</x:v>
      </x:c>
      <x:c r="K582" s="44" t="n">
        <x:v>660.4433333333333</x:v>
      </x:c>
      <x:c r="L582" s="42" t="n">
        <x:v>0.7864363836412915</x:v>
      </x:c>
      <x:c r="M582" s="44" t="n">
        <x:v>-423.1399999999999</x:v>
      </x:c>
      <x:c r="N582" s="41" t="n">
        <x:v>-0.2715586674282339</x:v>
      </x:c>
    </x:row>
    <x:row r="583" ht="15" hidden="0" customHeight="1">
      <x:c r="A583" s="43" t="str">
        <x:v>2026-03-25</x:v>
      </x:c>
      <x:c r="B583" s="39" t="str">
        <x:v>Content</x:v>
      </x:c>
      <x:c r="C583" s="39" t="n">
        <x:v>1440</x:v>
      </x:c>
      <x:c r="D583" s="39" t="n">
        <x:v>96</x:v>
      </x:c>
      <x:c r="E583" s="39" t="n">
        <x:v>1</x:v>
      </x:c>
      <x:c r="F583" s="44" t="n">
        <x:v>1186.64</x:v>
      </x:c>
      <x:c r="G583" s="44" t="n">
        <x:v>514.96</x:v>
      </x:c>
      <x:c r="H583" s="39" t="n">
        <x:v>6</x:v>
      </x:c>
      <x:c r="I583" s="41" t="n">
        <x:v>0.06666666666666667</x:v>
      </x:c>
      <x:c r="J583" s="41" t="n">
        <x:v>0.010416666666666666</x:v>
      </x:c>
      <x:c r="K583" s="44" t="n">
        <x:v>1186.64</x:v>
      </x:c>
      <x:c r="L583" s="42" t="n">
        <x:v>0.43396480819793704</x:v>
      </x:c>
      <x:c r="M583" s="44" t="n">
        <x:v>-671.6800000000001</x:v>
      </x:c>
      <x:c r="N583" s="41" t="n">
        <x:v>-1.3043343172285227</x:v>
      </x:c>
    </x:row>
    <x:row r="584" ht="15" hidden="0" customHeight="1">
      <x:c r="A584" s="43" t="str">
        <x:v>2026-03-25</x:v>
      </x:c>
      <x:c r="B584" s="39" t="str">
        <x:v>LinkedIn Ads</x:v>
      </x:c>
      <x:c r="C584" s="39" t="n">
        <x:v>2568</x:v>
      </x:c>
      <x:c r="D584" s="39" t="n">
        <x:v>131</x:v>
      </x:c>
      <x:c r="E584" s="39" t="n">
        <x:v>2</x:v>
      </x:c>
      <x:c r="F584" s="44" t="n">
        <x:v>1858.92</x:v>
      </x:c>
      <x:c r="G584" s="44" t="n">
        <x:v>1026.96</x:v>
      </x:c>
      <x:c r="H584" s="39" t="n">
        <x:v>6</x:v>
      </x:c>
      <x:c r="I584" s="41" t="n">
        <x:v>0.05101246105919003</x:v>
      </x:c>
      <x:c r="J584" s="41" t="n">
        <x:v>0.015267175572519083</x:v>
      </x:c>
      <x:c r="K584" s="44" t="n">
        <x:v>929.46</x:v>
      </x:c>
      <x:c r="L584" s="42" t="n">
        <x:v>0.5524498095668453</x:v>
      </x:c>
      <x:c r="M584" s="44" t="n">
        <x:v>-831.96</x:v>
      </x:c>
      <x:c r="N584" s="41" t="n">
        <x:v>-0.8101191867258706</x:v>
      </x:c>
    </x:row>
    <x:row r="585" ht="15" hidden="0" customHeight="1">
      <x:c r="A585" s="43" t="str">
        <x:v>2026-03-25</x:v>
      </x:c>
      <x:c r="B585" s="39" t="str">
        <x:v>Outbound Sales</x:v>
      </x:c>
      <x:c r="C585" s="39" t="n">
        <x:v>3471</x:v>
      </x:c>
      <x:c r="D585" s="39" t="n">
        <x:v>151</x:v>
      </x:c>
      <x:c r="E585" s="39" t="n">
        <x:v>2</x:v>
      </x:c>
      <x:c r="F585" s="44" t="n">
        <x:v>1267.35</x:v>
      </x:c>
      <x:c r="G585" s="44" t="n">
        <x:v>808.15</x:v>
      </x:c>
      <x:c r="H585" s="39" t="n">
        <x:v>6</x:v>
      </x:c>
      <x:c r="I585" s="41" t="n">
        <x:v>0.043503313166234514</x:v>
      </x:c>
      <x:c r="J585" s="41" t="n">
        <x:v>0.013245033112582781</x:v>
      </x:c>
      <x:c r="K585" s="44" t="n">
        <x:v>633.675</x:v>
      </x:c>
      <x:c r="L585" s="42" t="n">
        <x:v>0.6376691521679094</x:v>
      </x:c>
      <x:c r="M585" s="44" t="n">
        <x:v>-459.19999999999993</x:v>
      </x:c>
      <x:c r="N585" s="41" t="n">
        <x:v>-0.5682113469034213</x:v>
      </x:c>
    </x:row>
    <x:row r="586" ht="15" hidden="0" customHeight="1">
      <x:c r="A586" s="43" t="str">
        <x:v>2026-03-25</x:v>
      </x:c>
      <x:c r="B586" s="39" t="str">
        <x:v>Paid Search</x:v>
      </x:c>
      <x:c r="C586" s="39" t="n">
        <x:v>1577</x:v>
      </x:c>
      <x:c r="D586" s="39" t="n">
        <x:v>164</x:v>
      </x:c>
      <x:c r="E586" s="39" t="n">
        <x:v>2</x:v>
      </x:c>
      <x:c r="F586" s="44" t="n">
        <x:v>3098.3900000000003</x:v>
      </x:c>
      <x:c r="G586" s="44" t="n">
        <x:v>994.77</x:v>
      </x:c>
      <x:c r="H586" s="39" t="n">
        <x:v>6</x:v>
      </x:c>
      <x:c r="I586" s="41" t="n">
        <x:v>0.10399492707672796</x:v>
      </x:c>
      <x:c r="J586" s="41" t="n">
        <x:v>0.012195121951219513</x:v>
      </x:c>
      <x:c r="K586" s="44" t="n">
        <x:v>1549.1950000000002</x:v>
      </x:c>
      <x:c r="L586" s="42" t="n">
        <x:v>0.32106029260357793</x:v>
      </x:c>
      <x:c r="M586" s="44" t="n">
        <x:v>-2103.6200000000003</x:v>
      </x:c>
      <x:c r="N586" s="41" t="n">
        <x:v>-2.114679775224424</x:v>
      </x:c>
    </x:row>
    <x:row r="587" ht="15" hidden="0" customHeight="1">
      <x:c r="A587" s="43" t="str">
        <x:v>2026-03-25</x:v>
      </x:c>
      <x:c r="B587" s="39" t="str">
        <x:v>Partnerships</x:v>
      </x:c>
      <x:c r="C587" s="39" t="n">
        <x:v>1815</x:v>
      </x:c>
      <x:c r="D587" s="39" t="n">
        <x:v>94</x:v>
      </x:c>
      <x:c r="E587" s="39" t="n">
        <x:v>0</x:v>
      </x:c>
      <x:c r="F587" s="44" t="n">
        <x:v>1170.24</x:v>
      </x:c>
      <x:c r="G587" s="44" t="n">
        <x:v>0</x:v>
      </x:c>
      <x:c r="H587" s="39" t="n">
        <x:v>6</x:v>
      </x:c>
      <x:c r="I587" s="41" t="n">
        <x:v>0.051790633608815424</x:v>
      </x:c>
      <x:c r="J587" s="41" t="n">
        <x:v>0</x:v>
      </x:c>
      <x:c r="K587" s="44"/>
      <x:c r="L587" s="42" t="n">
        <x:v>0</x:v>
      </x:c>
      <x:c r="M587" s="44" t="n">
        <x:v>-1170.24</x:v>
      </x:c>
      <x:c r="N587" s="41"/>
    </x:row>
    <x:row r="588" ht="15" hidden="0" customHeight="1">
      <x:c r="A588" s="43" t="str">
        <x:v>2026-03-25</x:v>
      </x:c>
      <x:c r="B588" s="39" t="str">
        <x:v>Referral</x:v>
      </x:c>
      <x:c r="C588" s="39" t="n">
        <x:v>2745</x:v>
      </x:c>
      <x:c r="D588" s="39" t="n">
        <x:v>260</x:v>
      </x:c>
      <x:c r="E588" s="39" t="n">
        <x:v>7</x:v>
      </x:c>
      <x:c r="F588" s="44" t="n">
        <x:v>475.24</x:v>
      </x:c>
      <x:c r="G588" s="44" t="n">
        <x:v>3761.7</x:v>
      </x:c>
      <x:c r="H588" s="39" t="n">
        <x:v>6</x:v>
      </x:c>
      <x:c r="I588" s="41" t="n">
        <x:v>0.0947176684881603</x:v>
      </x:c>
      <x:c r="J588" s="41" t="n">
        <x:v>0.026923076923076925</x:v>
      </x:c>
      <x:c r="K588" s="44" t="n">
        <x:v>67.89142857142858</x:v>
      </x:c>
      <x:c r="L588" s="42" t="n">
        <x:v>7.915369076677047</x:v>
      </x:c>
      <x:c r="M588" s="44" t="n">
        <x:v>3286.46</x:v>
      </x:c>
      <x:c r="N588" s="41" t="n">
        <x:v>0.873663503203339</x:v>
      </x:c>
    </x:row>
    <x:row r="589" ht="15" hidden="0" customHeight="1">
      <x:c r="A589" s="43" t="str">
        <x:v>2026-03-25</x:v>
      </x:c>
      <x:c r="B589" s="39" t="str">
        <x:v>SEO</x:v>
      </x:c>
      <x:c r="C589" s="39" t="n">
        <x:v>2042</x:v>
      </x:c>
      <x:c r="D589" s="39" t="n">
        <x:v>148</x:v>
      </x:c>
      <x:c r="E589" s="39" t="n">
        <x:v>2</x:v>
      </x:c>
      <x:c r="F589" s="44" t="n">
        <x:v>1359.8899999999999</x:v>
      </x:c>
      <x:c r="G589" s="44" t="n">
        <x:v>918.02</x:v>
      </x:c>
      <x:c r="H589" s="39" t="n">
        <x:v>6</x:v>
      </x:c>
      <x:c r="I589" s="41" t="n">
        <x:v>0.07247796278158668</x:v>
      </x:c>
      <x:c r="J589" s="41" t="n">
        <x:v>0.013513513513513514</x:v>
      </x:c>
      <x:c r="K589" s="44" t="n">
        <x:v>679.9449999999999</x:v>
      </x:c>
      <x:c r="L589" s="42" t="n">
        <x:v>0.6750693070763077</x:v>
      </x:c>
      <x:c r="M589" s="44" t="n">
        <x:v>-441.8699999999999</x:v>
      </x:c>
      <x:c r="N589" s="41" t="n">
        <x:v>-0.4813293828021175</x:v>
      </x:c>
    </x:row>
    <x:row r="590" ht="15" hidden="0" customHeight="1">
      <x:c r="A590" s="43" t="str">
        <x:v>2026-03-26</x:v>
      </x:c>
      <x:c r="B590" s="39" t="str">
        <x:v>Content</x:v>
      </x:c>
      <x:c r="C590" s="39" t="n">
        <x:v>1782</x:v>
      </x:c>
      <x:c r="D590" s="39" t="n">
        <x:v>83</x:v>
      </x:c>
      <x:c r="E590" s="39" t="n">
        <x:v>1</x:v>
      </x:c>
      <x:c r="F590" s="44" t="n">
        <x:v>1059.5</x:v>
      </x:c>
      <x:c r="G590" s="44" t="n">
        <x:v>248.82</x:v>
      </x:c>
      <x:c r="H590" s="39" t="n">
        <x:v>6</x:v>
      </x:c>
      <x:c r="I590" s="41" t="n">
        <x:v>0.04657687991021325</x:v>
      </x:c>
      <x:c r="J590" s="41" t="n">
        <x:v>0.012048192771084338</x:v>
      </x:c>
      <x:c r="K590" s="44" t="n">
        <x:v>1059.5</x:v>
      </x:c>
      <x:c r="L590" s="42" t="n">
        <x:v>0.23484662576687115</x:v>
      </x:c>
      <x:c r="M590" s="44" t="n">
        <x:v>-810.6800000000001</x:v>
      </x:c>
      <x:c r="N590" s="41" t="n">
        <x:v>-3.258098223615465</x:v>
      </x:c>
    </x:row>
    <x:row r="591" ht="15" hidden="0" customHeight="1">
      <x:c r="A591" s="43" t="str">
        <x:v>2026-03-26</x:v>
      </x:c>
      <x:c r="B591" s="39" t="str">
        <x:v>LinkedIn Ads</x:v>
      </x:c>
      <x:c r="C591" s="39" t="n">
        <x:v>2288</x:v>
      </x:c>
      <x:c r="D591" s="39" t="n">
        <x:v>128</x:v>
      </x:c>
      <x:c r="E591" s="39" t="n">
        <x:v>2</x:v>
      </x:c>
      <x:c r="F591" s="44" t="n">
        <x:v>1843.6799999999998</x:v>
      </x:c>
      <x:c r="G591" s="44" t="n">
        <x:v>1034.55</x:v>
      </x:c>
      <x:c r="H591" s="39" t="n">
        <x:v>6</x:v>
      </x:c>
      <x:c r="I591" s="41" t="n">
        <x:v>0.055944055944055944</x:v>
      </x:c>
      <x:c r="J591" s="41" t="n">
        <x:v>0.015625</x:v>
      </x:c>
      <x:c r="K591" s="44" t="n">
        <x:v>921.8399999999999</x:v>
      </x:c>
      <x:c r="L591" s="42" t="n">
        <x:v>0.5611331684457173</x:v>
      </x:c>
      <x:c r="M591" s="44" t="n">
        <x:v>-809.1299999999999</x:v>
      </x:c>
      <x:c r="N591" s="41" t="n">
        <x:v>-0.7821081629694069</x:v>
      </x:c>
    </x:row>
    <x:row r="592" ht="15" hidden="0" customHeight="1">
      <x:c r="A592" s="43" t="str">
        <x:v>2026-03-26</x:v>
      </x:c>
      <x:c r="B592" s="39" t="str">
        <x:v>Outbound Sales</x:v>
      </x:c>
      <x:c r="C592" s="39" t="n">
        <x:v>3929</x:v>
      </x:c>
      <x:c r="D592" s="39" t="n">
        <x:v>255</x:v>
      </x:c>
      <x:c r="E592" s="39" t="n">
        <x:v>2</x:v>
      </x:c>
      <x:c r="F592" s="44" t="n">
        <x:v>1329.03</x:v>
      </x:c>
      <x:c r="G592" s="44" t="n">
        <x:v>1141.0100000000002</x:v>
      </x:c>
      <x:c r="H592" s="39" t="n">
        <x:v>6</x:v>
      </x:c>
      <x:c r="I592" s="41" t="n">
        <x:v>0.06490201068974294</x:v>
      </x:c>
      <x:c r="J592" s="41" t="n">
        <x:v>0.00784313725490196</x:v>
      </x:c>
      <x:c r="K592" s="44" t="n">
        <x:v>664.515</x:v>
      </x:c>
      <x:c r="L592" s="42" t="n">
        <x:v>0.858528400412331</x:v>
      </x:c>
      <x:c r="M592" s="44" t="n">
        <x:v>-188.01999999999975</x:v>
      </x:c>
      <x:c r="N592" s="41" t="n">
        <x:v>-0.16478383186825682</x:v>
      </x:c>
    </x:row>
    <x:row r="593" ht="15" hidden="0" customHeight="1">
      <x:c r="A593" s="43" t="str">
        <x:v>2026-03-26</x:v>
      </x:c>
      <x:c r="B593" s="39" t="str">
        <x:v>Paid Search</x:v>
      </x:c>
      <x:c r="C593" s="39" t="n">
        <x:v>2886</x:v>
      </x:c>
      <x:c r="D593" s="39" t="n">
        <x:v>145</x:v>
      </x:c>
      <x:c r="E593" s="39" t="n">
        <x:v>2</x:v>
      </x:c>
      <x:c r="F593" s="44" t="n">
        <x:v>3146.72</x:v>
      </x:c>
      <x:c r="G593" s="44" t="n">
        <x:v>926.3100000000001</x:v>
      </x:c>
      <x:c r="H593" s="39" t="n">
        <x:v>6</x:v>
      </x:c>
      <x:c r="I593" s="41" t="n">
        <x:v>0.05024255024255024</x:v>
      </x:c>
      <x:c r="J593" s="41" t="n">
        <x:v>0.013793103448275862</x:v>
      </x:c>
      <x:c r="K593" s="44" t="n">
        <x:v>1573.36</x:v>
      </x:c>
      <x:c r="L593" s="42" t="n">
        <x:v>0.2943731885900239</x:v>
      </x:c>
      <x:c r="M593" s="44" t="n">
        <x:v>-2220.41</x:v>
      </x:c>
      <x:c r="N593" s="41" t="n">
        <x:v>-2.3970485042804244</x:v>
      </x:c>
    </x:row>
    <x:row r="594" ht="15" hidden="0" customHeight="1">
      <x:c r="A594" s="43" t="str">
        <x:v>2026-03-26</x:v>
      </x:c>
      <x:c r="B594" s="39" t="str">
        <x:v>Partnerships</x:v>
      </x:c>
      <x:c r="C594" s="39" t="n">
        <x:v>2131</x:v>
      </x:c>
      <x:c r="D594" s="39" t="n">
        <x:v>147</x:v>
      </x:c>
      <x:c r="E594" s="39" t="n">
        <x:v>2</x:v>
      </x:c>
      <x:c r="F594" s="44" t="n">
        <x:v>1187.81</x:v>
      </x:c>
      <x:c r="G594" s="44" t="n">
        <x:v>928.3299999999999</x:v>
      </x:c>
      <x:c r="H594" s="39" t="n">
        <x:v>6</x:v>
      </x:c>
      <x:c r="I594" s="41" t="n">
        <x:v>0.0689816987329892</x:v>
      </x:c>
      <x:c r="J594" s="41" t="n">
        <x:v>0.013605442176870748</x:v>
      </x:c>
      <x:c r="K594" s="44" t="n">
        <x:v>593.905</x:v>
      </x:c>
      <x:c r="L594" s="42" t="n">
        <x:v>0.7815475539017183</x:v>
      </x:c>
      <x:c r="M594" s="44" t="n">
        <x:v>-259.48</x:v>
      </x:c>
      <x:c r="N594" s="41" t="n">
        <x:v>-0.27951267329505675</x:v>
      </x:c>
    </x:row>
    <x:row r="595" ht="15" hidden="0" customHeight="1">
      <x:c r="A595" s="43" t="str">
        <x:v>2026-03-26</x:v>
      </x:c>
      <x:c r="B595" s="39" t="str">
        <x:v>Referral</x:v>
      </x:c>
      <x:c r="C595" s="39" t="n">
        <x:v>2530</x:v>
      </x:c>
      <x:c r="D595" s="39" t="n">
        <x:v>199</x:v>
      </x:c>
      <x:c r="E595" s="39" t="n">
        <x:v>5</x:v>
      </x:c>
      <x:c r="F595" s="44" t="n">
        <x:v>331.31</x:v>
      </x:c>
      <x:c r="G595" s="44" t="n">
        <x:v>2767.98</x:v>
      </x:c>
      <x:c r="H595" s="39" t="n">
        <x:v>6</x:v>
      </x:c>
      <x:c r="I595" s="41" t="n">
        <x:v>0.07865612648221344</x:v>
      </x:c>
      <x:c r="J595" s="41" t="n">
        <x:v>0.02512562814070352</x:v>
      </x:c>
      <x:c r="K595" s="44" t="n">
        <x:v>66.262</x:v>
      </x:c>
      <x:c r="L595" s="42" t="n">
        <x:v>8.354652742144818</x:v>
      </x:c>
      <x:c r="M595" s="44" t="n">
        <x:v>2436.67</x:v>
      </x:c>
      <x:c r="N595" s="41" t="n">
        <x:v>0.8803062160853764</x:v>
      </x:c>
    </x:row>
    <x:row r="596" ht="15" hidden="0" customHeight="1">
      <x:c r="A596" s="43" t="str">
        <x:v>2026-03-26</x:v>
      </x:c>
      <x:c r="B596" s="39" t="str">
        <x:v>SEO</x:v>
      </x:c>
      <x:c r="C596" s="39" t="n">
        <x:v>2752</x:v>
      </x:c>
      <x:c r="D596" s="39" t="n">
        <x:v>125</x:v>
      </x:c>
      <x:c r="E596" s="39" t="n">
        <x:v>1</x:v>
      </x:c>
      <x:c r="F596" s="44" t="n">
        <x:v>1208.8</x:v>
      </x:c>
      <x:c r="G596" s="44" t="n">
        <x:v>262.27</x:v>
      </x:c>
      <x:c r="H596" s="39" t="n">
        <x:v>6</x:v>
      </x:c>
      <x:c r="I596" s="41" t="n">
        <x:v>0.045421511627906974</x:v>
      </x:c>
      <x:c r="J596" s="41" t="n">
        <x:v>0.008</x:v>
      </x:c>
      <x:c r="K596" s="44" t="n">
        <x:v>1208.8</x:v>
      </x:c>
      <x:c r="L596" s="42" t="n">
        <x:v>0.2169672402382528</x:v>
      </x:c>
      <x:c r="M596" s="44" t="n">
        <x:v>-946.53</x:v>
      </x:c>
      <x:c r="N596" s="41" t="n">
        <x:v>-3.6089907347390096</x:v>
      </x:c>
    </x:row>
    <x:row r="597" ht="15" hidden="0" customHeight="1">
      <x:c r="A597" s="43" t="str">
        <x:v>2026-03-27</x:v>
      </x:c>
      <x:c r="B597" s="39" t="str">
        <x:v>Content</x:v>
      </x:c>
      <x:c r="C597" s="39" t="n">
        <x:v>1854</x:v>
      </x:c>
      <x:c r="D597" s="39" t="n">
        <x:v>87</x:v>
      </x:c>
      <x:c r="E597" s="39" t="n">
        <x:v>0</x:v>
      </x:c>
      <x:c r="F597" s="44" t="n">
        <x:v>923.43</x:v>
      </x:c>
      <x:c r="G597" s="44" t="n">
        <x:v>0</x:v>
      </x:c>
      <x:c r="H597" s="39" t="n">
        <x:v>6</x:v>
      </x:c>
      <x:c r="I597" s="41" t="n">
        <x:v>0.04692556634304207</x:v>
      </x:c>
      <x:c r="J597" s="41" t="n">
        <x:v>0</x:v>
      </x:c>
      <x:c r="K597" s="44"/>
      <x:c r="L597" s="42" t="n">
        <x:v>0</x:v>
      </x:c>
      <x:c r="M597" s="44" t="n">
        <x:v>-923.43</x:v>
      </x:c>
      <x:c r="N597" s="41"/>
    </x:row>
    <x:row r="598" ht="15" hidden="0" customHeight="1">
      <x:c r="A598" s="43" t="str">
        <x:v>2026-03-27</x:v>
      </x:c>
      <x:c r="B598" s="39" t="str">
        <x:v>LinkedIn Ads</x:v>
      </x:c>
      <x:c r="C598" s="39" t="n">
        <x:v>2425</x:v>
      </x:c>
      <x:c r="D598" s="39" t="n">
        <x:v>188</x:v>
      </x:c>
      <x:c r="E598" s="39" t="n">
        <x:v>2</x:v>
      </x:c>
      <x:c r="F598" s="44" t="n">
        <x:v>1666.67</x:v>
      </x:c>
      <x:c r="G598" s="44" t="n">
        <x:v>880.15</x:v>
      </x:c>
      <x:c r="H598" s="39" t="n">
        <x:v>6</x:v>
      </x:c>
      <x:c r="I598" s="41" t="n">
        <x:v>0.0775257731958763</x:v>
      </x:c>
      <x:c r="J598" s="41" t="n">
        <x:v>0.010638297872340425</x:v>
      </x:c>
      <x:c r="K598" s="44" t="n">
        <x:v>833.335</x:v>
      </x:c>
      <x:c r="L598" s="42" t="n">
        <x:v>0.5280889438221124</x:v>
      </x:c>
      <x:c r="M598" s="44" t="n">
        <x:v>-786.5200000000001</x:v>
      </x:c>
      <x:c r="N598" s="41" t="n">
        <x:v>-0.8936204056126797</x:v>
      </x:c>
    </x:row>
    <x:row r="599" ht="15" hidden="0" customHeight="1">
      <x:c r="A599" s="43" t="str">
        <x:v>2026-03-27</x:v>
      </x:c>
      <x:c r="B599" s="39" t="str">
        <x:v>Outbound Sales</x:v>
      </x:c>
      <x:c r="C599" s="39" t="n">
        <x:v>2596</x:v>
      </x:c>
      <x:c r="D599" s="39" t="n">
        <x:v>114</x:v>
      </x:c>
      <x:c r="E599" s="39" t="n">
        <x:v>1</x:v>
      </x:c>
      <x:c r="F599" s="44" t="n">
        <x:v>874.73</x:v>
      </x:c>
      <x:c r="G599" s="44" t="n">
        <x:v>596.99</x:v>
      </x:c>
      <x:c r="H599" s="39" t="n">
        <x:v>6</x:v>
      </x:c>
      <x:c r="I599" s="41" t="n">
        <x:v>0.04391371340523883</x:v>
      </x:c>
      <x:c r="J599" s="41" t="n">
        <x:v>0.008771929824561403</x:v>
      </x:c>
      <x:c r="K599" s="44" t="n">
        <x:v>874.73</x:v>
      </x:c>
      <x:c r="L599" s="42" t="n">
        <x:v>0.6824848810490094</x:v>
      </x:c>
      <x:c r="M599" s="44" t="n">
        <x:v>-277.74</x:v>
      </x:c>
      <x:c r="N599" s="41" t="n">
        <x:v>-0.4652339235163068</x:v>
      </x:c>
    </x:row>
    <x:row r="600" ht="15" hidden="0" customHeight="1">
      <x:c r="A600" s="43" t="str">
        <x:v>2026-03-27</x:v>
      </x:c>
      <x:c r="B600" s="39" t="str">
        <x:v>Paid Search</x:v>
      </x:c>
      <x:c r="C600" s="39" t="n">
        <x:v>2621</x:v>
      </x:c>
      <x:c r="D600" s="39" t="n">
        <x:v>157</x:v>
      </x:c>
      <x:c r="E600" s="39" t="n">
        <x:v>2</x:v>
      </x:c>
      <x:c r="F600" s="44" t="n">
        <x:v>2867.2</x:v>
      </x:c>
      <x:c r="G600" s="44" t="n">
        <x:v>1049.6</x:v>
      </x:c>
      <x:c r="H600" s="39" t="n">
        <x:v>6</x:v>
      </x:c>
      <x:c r="I600" s="41" t="n">
        <x:v>0.05990080122090805</x:v>
      </x:c>
      <x:c r="J600" s="41" t="n">
        <x:v>0.012738853503184714</x:v>
      </x:c>
      <x:c r="K600" s="44" t="n">
        <x:v>1433.6</x:v>
      </x:c>
      <x:c r="L600" s="42" t="n">
        <x:v>0.36607142857142855</x:v>
      </x:c>
      <x:c r="M600" s="44" t="n">
        <x:v>-1817.6</x:v>
      </x:c>
      <x:c r="N600" s="41" t="n">
        <x:v>-1.7317073170731707</x:v>
      </x:c>
    </x:row>
    <x:row r="601" ht="15" hidden="0" customHeight="1">
      <x:c r="A601" s="43" t="str">
        <x:v>2026-03-27</x:v>
      </x:c>
      <x:c r="B601" s="39" t="str">
        <x:v>Partnerships</x:v>
      </x:c>
      <x:c r="C601" s="39" t="n">
        <x:v>2039</x:v>
      </x:c>
      <x:c r="D601" s="39" t="n">
        <x:v>136</x:v>
      </x:c>
      <x:c r="E601" s="39" t="n">
        <x:v>1</x:v>
      </x:c>
      <x:c r="F601" s="44" t="n">
        <x:v>927.48</x:v>
      </x:c>
      <x:c r="G601" s="44" t="n">
        <x:v>355.32</x:v>
      </x:c>
      <x:c r="H601" s="39" t="n">
        <x:v>6</x:v>
      </x:c>
      <x:c r="I601" s="41" t="n">
        <x:v>0.06669936243256498</x:v>
      </x:c>
      <x:c r="J601" s="41" t="n">
        <x:v>0.007352941176470588</x:v>
      </x:c>
      <x:c r="K601" s="44" t="n">
        <x:v>927.48</x:v>
      </x:c>
      <x:c r="L601" s="42" t="n">
        <x:v>0.38310260059516105</x:v>
      </x:c>
      <x:c r="M601" s="44" t="n">
        <x:v>-572.1600000000001</x:v>
      </x:c>
      <x:c r="N601" s="41" t="n">
        <x:v>-1.6102668017561637</x:v>
      </x:c>
    </x:row>
    <x:row r="602" ht="15" hidden="0" customHeight="1">
      <x:c r="A602" s="43" t="str">
        <x:v>2026-03-27</x:v>
      </x:c>
      <x:c r="B602" s="39" t="str">
        <x:v>Referral</x:v>
      </x:c>
      <x:c r="C602" s="39" t="n">
        <x:v>2470</x:v>
      </x:c>
      <x:c r="D602" s="39" t="n">
        <x:v>154</x:v>
      </x:c>
      <x:c r="E602" s="39" t="n">
        <x:v>5</x:v>
      </x:c>
      <x:c r="F602" s="44" t="n">
        <x:v>222.82999999999998</x:v>
      </x:c>
      <x:c r="G602" s="44" t="n">
        <x:v>2410.07</x:v>
      </x:c>
      <x:c r="H602" s="39" t="n">
        <x:v>6</x:v>
      </x:c>
      <x:c r="I602" s="41" t="n">
        <x:v>0.062348178137651825</x:v>
      </x:c>
      <x:c r="J602" s="41" t="n">
        <x:v>0.032467532467532464</x:v>
      </x:c>
      <x:c r="K602" s="44" t="n">
        <x:v>44.565999999999995</x:v>
      </x:c>
      <x:c r="L602" s="42" t="n">
        <x:v>10.81573396759862</x:v>
      </x:c>
      <x:c r="M602" s="44" t="n">
        <x:v>2187.2400000000002</x:v>
      </x:c>
      <x:c r="N602" s="41" t="n">
        <x:v>0.9075421045861739</x:v>
      </x:c>
    </x:row>
    <x:row r="603" ht="15" hidden="0" customHeight="1">
      <x:c r="A603" s="43" t="str">
        <x:v>2026-03-27</x:v>
      </x:c>
      <x:c r="B603" s="39" t="str">
        <x:v>SEO</x:v>
      </x:c>
      <x:c r="C603" s="39" t="n">
        <x:v>2736</x:v>
      </x:c>
      <x:c r="D603" s="39" t="n">
        <x:v>100</x:v>
      </x:c>
      <x:c r="E603" s="39" t="n">
        <x:v>1</x:v>
      </x:c>
      <x:c r="F603" s="44" t="n">
        <x:v>1033.31</x:v>
      </x:c>
      <x:c r="G603" s="44" t="n">
        <x:v>284.49</x:v>
      </x:c>
      <x:c r="H603" s="39" t="n">
        <x:v>6</x:v>
      </x:c>
      <x:c r="I603" s="41" t="n">
        <x:v>0.03654970760233918</x:v>
      </x:c>
      <x:c r="J603" s="41" t="n">
        <x:v>0.01</x:v>
      </x:c>
      <x:c r="K603" s="44" t="n">
        <x:v>1033.31</x:v>
      </x:c>
      <x:c r="L603" s="42" t="n">
        <x:v>0.27531912010916376</x:v>
      </x:c>
      <x:c r="M603" s="44" t="n">
        <x:v>-748.8199999999999</x:v>
      </x:c>
      <x:c r="N603" s="41" t="n">
        <x:v>-2.6321487574255684</x:v>
      </x:c>
    </x:row>
    <x:row r="604" ht="15" hidden="0" customHeight="1">
      <x:c r="A604" s="43" t="str">
        <x:v>2026-03-28</x:v>
      </x:c>
      <x:c r="B604" s="39" t="str">
        <x:v>Content</x:v>
      </x:c>
      <x:c r="C604" s="39" t="n">
        <x:v>1915</x:v>
      </x:c>
      <x:c r="D604" s="39" t="n">
        <x:v>172</x:v>
      </x:c>
      <x:c r="E604" s="39" t="n">
        <x:v>2</x:v>
      </x:c>
      <x:c r="F604" s="44" t="n">
        <x:v>1150.06</x:v>
      </x:c>
      <x:c r="G604" s="44" t="n">
        <x:v>902.76</x:v>
      </x:c>
      <x:c r="H604" s="39" t="n">
        <x:v>6</x:v>
      </x:c>
      <x:c r="I604" s="41" t="n">
        <x:v>0.0898172323759791</x:v>
      </x:c>
      <x:c r="J604" s="41" t="n">
        <x:v>0.011627906976744186</x:v>
      </x:c>
      <x:c r="K604" s="44" t="n">
        <x:v>575.03</x:v>
      </x:c>
      <x:c r="L604" s="42" t="n">
        <x:v>0.7849677408135228</x:v>
      </x:c>
      <x:c r="M604" s="44" t="n">
        <x:v>-247.29999999999995</x:v>
      </x:c>
      <x:c r="N604" s="41" t="n">
        <x:v>-0.27393770215782703</x:v>
      </x:c>
    </x:row>
    <x:row r="605" ht="15" hidden="0" customHeight="1">
      <x:c r="A605" s="43" t="str">
        <x:v>2026-03-28</x:v>
      </x:c>
      <x:c r="B605" s="39" t="str">
        <x:v>LinkedIn Ads</x:v>
      </x:c>
      <x:c r="C605" s="39" t="n">
        <x:v>2675</x:v>
      </x:c>
      <x:c r="D605" s="39" t="n">
        <x:v>89</x:v>
      </x:c>
      <x:c r="E605" s="39" t="n">
        <x:v>1</x:v>
      </x:c>
      <x:c r="F605" s="44" t="n">
        <x:v>1860.3999999999999</x:v>
      </x:c>
      <x:c r="G605" s="44" t="n">
        <x:v>669.04</x:v>
      </x:c>
      <x:c r="H605" s="39" t="n">
        <x:v>6</x:v>
      </x:c>
      <x:c r="I605" s="41" t="n">
        <x:v>0.03327102803738318</x:v>
      </x:c>
      <x:c r="J605" s="41" t="n">
        <x:v>0.011235955056179775</x:v>
      </x:c>
      <x:c r="K605" s="44" t="n">
        <x:v>1860.3999999999999</x:v>
      </x:c>
      <x:c r="L605" s="42" t="n">
        <x:v>0.35962158675553646</x:v>
      </x:c>
      <x:c r="M605" s="44" t="n">
        <x:v>-1191.36</x:v>
      </x:c>
      <x:c r="N605" s="41" t="n">
        <x:v>-1.780700705488461</x:v>
      </x:c>
    </x:row>
    <x:row r="606" ht="15" hidden="0" customHeight="1">
      <x:c r="A606" s="43" t="str">
        <x:v>2026-03-28</x:v>
      </x:c>
      <x:c r="B606" s="39" t="str">
        <x:v>Outbound Sales</x:v>
      </x:c>
      <x:c r="C606" s="39" t="n">
        <x:v>3466</x:v>
      </x:c>
      <x:c r="D606" s="39" t="n">
        <x:v>259</x:v>
      </x:c>
      <x:c r="E606" s="39" t="n">
        <x:v>2</x:v>
      </x:c>
      <x:c r="F606" s="44" t="n">
        <x:v>1379.82</x:v>
      </x:c>
      <x:c r="G606" s="44" t="n">
        <x:v>1193.01</x:v>
      </x:c>
      <x:c r="H606" s="39" t="n">
        <x:v>6</x:v>
      </x:c>
      <x:c r="I606" s="41" t="n">
        <x:v>0.07472590882862089</x:v>
      </x:c>
      <x:c r="J606" s="41" t="n">
        <x:v>0.007722007722007722</x:v>
      </x:c>
      <x:c r="K606" s="44" t="n">
        <x:v>689.91</x:v>
      </x:c>
      <x:c r="L606" s="42" t="n">
        <x:v>0.8646127755794234</x:v>
      </x:c>
      <x:c r="M606" s="44" t="n">
        <x:v>-186.80999999999995</x:v>
      </x:c>
      <x:c r="N606" s="41" t="n">
        <x:v>-0.1565871199738476</x:v>
      </x:c>
    </x:row>
    <x:row r="607" ht="15" hidden="0" customHeight="1">
      <x:c r="A607" s="43" t="str">
        <x:v>2026-03-28</x:v>
      </x:c>
      <x:c r="B607" s="39" t="str">
        <x:v>Paid Search</x:v>
      </x:c>
      <x:c r="C607" s="39" t="n">
        <x:v>2655</x:v>
      </x:c>
      <x:c r="D607" s="39" t="n">
        <x:v>181</x:v>
      </x:c>
      <x:c r="E607" s="39" t="n">
        <x:v>3</x:v>
      </x:c>
      <x:c r="F607" s="44" t="n">
        <x:v>3212.22</x:v>
      </x:c>
      <x:c r="G607" s="44" t="n">
        <x:v>1133.7</x:v>
      </x:c>
      <x:c r="H607" s="39" t="n">
        <x:v>6</x:v>
      </x:c>
      <x:c r="I607" s="41" t="n">
        <x:v>0.06817325800376647</x:v>
      </x:c>
      <x:c r="J607" s="41" t="n">
        <x:v>0.016574585635359115</x:v>
      </x:c>
      <x:c r="K607" s="44" t="n">
        <x:v>1070.74</x:v>
      </x:c>
      <x:c r="L607" s="42" t="n">
        <x:v>0.3529334852531894</x:v>
      </x:c>
      <x:c r="M607" s="44" t="n">
        <x:v>-2078.5199999999995</x:v>
      </x:c>
      <x:c r="N607" s="41" t="n">
        <x:v>-1.833395078062979</x:v>
      </x:c>
    </x:row>
    <x:row r="608" ht="15" hidden="0" customHeight="1">
      <x:c r="A608" s="43" t="str">
        <x:v>2026-03-28</x:v>
      </x:c>
      <x:c r="B608" s="39" t="str">
        <x:v>Partnerships</x:v>
      </x:c>
      <x:c r="C608" s="39" t="n">
        <x:v>2258</x:v>
      </x:c>
      <x:c r="D608" s="39" t="n">
        <x:v>149</x:v>
      </x:c>
      <x:c r="E608" s="39" t="n">
        <x:v>1</x:v>
      </x:c>
      <x:c r="F608" s="44" t="n">
        <x:v>1207.9</x:v>
      </x:c>
      <x:c r="G608" s="44" t="n">
        <x:v>639.05</x:v>
      </x:c>
      <x:c r="H608" s="39" t="n">
        <x:v>6</x:v>
      </x:c>
      <x:c r="I608" s="41" t="n">
        <x:v>0.06598759964570416</x:v>
      </x:c>
      <x:c r="J608" s="41" t="n">
        <x:v>0.006711409395973154</x:v>
      </x:c>
      <x:c r="K608" s="44" t="n">
        <x:v>1207.9</x:v>
      </x:c>
      <x:c r="L608" s="42" t="n">
        <x:v>0.5290586969119959</x:v>
      </x:c>
      <x:c r="M608" s="44" t="n">
        <x:v>-568.8500000000001</x:v>
      </x:c>
      <x:c r="N608" s="41" t="n">
        <x:v>-0.8901494405758551</x:v>
      </x:c>
    </x:row>
    <x:row r="609" ht="15" hidden="0" customHeight="1">
      <x:c r="A609" s="43" t="str">
        <x:v>2026-03-28</x:v>
      </x:c>
      <x:c r="B609" s="39" t="str">
        <x:v>Referral</x:v>
      </x:c>
      <x:c r="C609" s="39" t="n">
        <x:v>3224</x:v>
      </x:c>
      <x:c r="D609" s="39" t="n">
        <x:v>211</x:v>
      </x:c>
      <x:c r="E609" s="39" t="n">
        <x:v>6</x:v>
      </x:c>
      <x:c r="F609" s="44" t="n">
        <x:v>455.02</x:v>
      </x:c>
      <x:c r="G609" s="44" t="n">
        <x:v>2978.08</x:v>
      </x:c>
      <x:c r="H609" s="39" t="n">
        <x:v>6</x:v>
      </x:c>
      <x:c r="I609" s="41" t="n">
        <x:v>0.06544665012406947</x:v>
      </x:c>
      <x:c r="J609" s="41" t="n">
        <x:v>0.02843601895734597</x:v>
      </x:c>
      <x:c r="K609" s="44" t="n">
        <x:v>75.83666666666666</x:v>
      </x:c>
      <x:c r="L609" s="42" t="n">
        <x:v>6.544943079425081</x:v>
      </x:c>
      <x:c r="M609" s="44" t="n">
        <x:v>2523.06</x:v>
      </x:c>
      <x:c r="N609" s="41" t="n">
        <x:v>0.847210283135443</x:v>
      </x:c>
    </x:row>
    <x:row r="610" ht="15" hidden="0" customHeight="1">
      <x:c r="A610" s="43" t="str">
        <x:v>2026-03-28</x:v>
      </x:c>
      <x:c r="B610" s="39" t="str">
        <x:v>SEO</x:v>
      </x:c>
      <x:c r="C610" s="39" t="n">
        <x:v>1881</x:v>
      </x:c>
      <x:c r="D610" s="39" t="n">
        <x:v>118</x:v>
      </x:c>
      <x:c r="E610" s="39" t="n">
        <x:v>2</x:v>
      </x:c>
      <x:c r="F610" s="44" t="n">
        <x:v>1259.8899999999999</x:v>
      </x:c>
      <x:c r="G610" s="44" t="n">
        <x:v>942.81</x:v>
      </x:c>
      <x:c r="H610" s="39" t="n">
        <x:v>6</x:v>
      </x:c>
      <x:c r="I610" s="41" t="n">
        <x:v>0.06273258904837853</x:v>
      </x:c>
      <x:c r="J610" s="41" t="n">
        <x:v>0.01694915254237288</x:v>
      </x:c>
      <x:c r="K610" s="44" t="n">
        <x:v>629.9449999999999</x:v>
      </x:c>
      <x:c r="L610" s="42" t="n">
        <x:v>0.7483272349173341</x:v>
      </x:c>
      <x:c r="M610" s="44" t="n">
        <x:v>-317.0799999999999</x:v>
      </x:c>
      <x:c r="N610" s="41" t="n">
        <x:v>-0.33631378538623896</x:v>
      </x:c>
    </x:row>
    <x:row r="611" ht="15" hidden="0" customHeight="1">
      <x:c r="A611" s="43" t="str">
        <x:v>2026-03-29</x:v>
      </x:c>
      <x:c r="B611" s="39" t="str">
        <x:v>Content</x:v>
      </x:c>
      <x:c r="C611" s="39" t="n">
        <x:v>2181</x:v>
      </x:c>
      <x:c r="D611" s="39" t="n">
        <x:v>99</x:v>
      </x:c>
      <x:c r="E611" s="39" t="n">
        <x:v>1</x:v>
      </x:c>
      <x:c r="F611" s="44" t="n">
        <x:v>969.7299999999999</x:v>
      </x:c>
      <x:c r="G611" s="44" t="n">
        <x:v>398.95</x:v>
      </x:c>
      <x:c r="H611" s="39" t="n">
        <x:v>6</x:v>
      </x:c>
      <x:c r="I611" s="41" t="n">
        <x:v>0.0453920220082531</x:v>
      </x:c>
      <x:c r="J611" s="41" t="n">
        <x:v>0.010101010101010102</x:v>
      </x:c>
      <x:c r="K611" s="44" t="n">
        <x:v>969.7299999999999</x:v>
      </x:c>
      <x:c r="L611" s="42" t="n">
        <x:v>0.4114031740793829</x:v>
      </x:c>
      <x:c r="M611" s="44" t="n">
        <x:v>-570.78</x:v>
      </x:c>
      <x:c r="N611" s="41" t="n">
        <x:v>-1.4307056022057902</x:v>
      </x:c>
    </x:row>
    <x:row r="612" ht="15" hidden="0" customHeight="1">
      <x:c r="A612" s="43" t="str">
        <x:v>2026-03-29</x:v>
      </x:c>
      <x:c r="B612" s="39" t="str">
        <x:v>LinkedIn Ads</x:v>
      </x:c>
      <x:c r="C612" s="39" t="n">
        <x:v>2580</x:v>
      </x:c>
      <x:c r="D612" s="39" t="n">
        <x:v>125</x:v>
      </x:c>
      <x:c r="E612" s="39" t="n">
        <x:v>1</x:v>
      </x:c>
      <x:c r="F612" s="44" t="n">
        <x:v>1467.85</x:v>
      </x:c>
      <x:c r="G612" s="44" t="n">
        <x:v>731.48</x:v>
      </x:c>
      <x:c r="H612" s="39" t="n">
        <x:v>6</x:v>
      </x:c>
      <x:c r="I612" s="41" t="n">
        <x:v>0.04844961240310078</x:v>
      </x:c>
      <x:c r="J612" s="41" t="n">
        <x:v>0.008</x:v>
      </x:c>
      <x:c r="K612" s="44" t="n">
        <x:v>1467.85</x:v>
      </x:c>
      <x:c r="L612" s="42" t="n">
        <x:v>0.4983342984637395</x:v>
      </x:c>
      <x:c r="M612" s="44" t="n">
        <x:v>-736.3699999999999</x:v>
      </x:c>
      <x:c r="N612" s="41" t="n">
        <x:v>-1.006685076830535</x:v>
      </x:c>
    </x:row>
    <x:row r="613" ht="15" hidden="0" customHeight="1">
      <x:c r="A613" s="43" t="str">
        <x:v>2026-03-29</x:v>
      </x:c>
      <x:c r="B613" s="39" t="str">
        <x:v>Outbound Sales</x:v>
      </x:c>
      <x:c r="C613" s="39" t="n">
        <x:v>3304</x:v>
      </x:c>
      <x:c r="D613" s="39" t="n">
        <x:v>165</x:v>
      </x:c>
      <x:c r="E613" s="39" t="n">
        <x:v>1</x:v>
      </x:c>
      <x:c r="F613" s="44" t="n">
        <x:v>1094.92</x:v>
      </x:c>
      <x:c r="G613" s="44" t="n">
        <x:v>649.85</x:v>
      </x:c>
      <x:c r="H613" s="39" t="n">
        <x:v>6</x:v>
      </x:c>
      <x:c r="I613" s="41" t="n">
        <x:v>0.04993946731234867</x:v>
      </x:c>
      <x:c r="J613" s="41" t="n">
        <x:v>0.006060606060606061</x:v>
      </x:c>
      <x:c r="K613" s="44" t="n">
        <x:v>1094.92</x:v>
      </x:c>
      <x:c r="L613" s="42" t="n">
        <x:v>0.5935136813648485</x:v>
      </x:c>
      <x:c r="M613" s="44" t="n">
        <x:v>-445.07000000000005</x:v>
      </x:c>
      <x:c r="N613" s="41" t="n">
        <x:v>-0.6848811264137878</x:v>
      </x:c>
    </x:row>
    <x:row r="614" ht="15" hidden="0" customHeight="1">
      <x:c r="A614" s="43" t="str">
        <x:v>2026-03-29</x:v>
      </x:c>
      <x:c r="B614" s="39" t="str">
        <x:v>Paid Search</x:v>
      </x:c>
      <x:c r="C614" s="39" t="n">
        <x:v>3343</x:v>
      </x:c>
      <x:c r="D614" s="39" t="n">
        <x:v>162</x:v>
      </x:c>
      <x:c r="E614" s="39" t="n">
        <x:v>2</x:v>
      </x:c>
      <x:c r="F614" s="44" t="n">
        <x:v>2426.75</x:v>
      </x:c>
      <x:c r="G614" s="44" t="n">
        <x:v>1095.53</x:v>
      </x:c>
      <x:c r="H614" s="39" t="n">
        <x:v>6</x:v>
      </x:c>
      <x:c r="I614" s="41" t="n">
        <x:v>0.048459467544122045</x:v>
      </x:c>
      <x:c r="J614" s="41" t="n">
        <x:v>0.012345679012345678</x:v>
      </x:c>
      <x:c r="K614" s="44" t="n">
        <x:v>1213.375</x:v>
      </x:c>
      <x:c r="L614" s="42" t="n">
        <x:v>0.45143916761100233</x:v>
      </x:c>
      <x:c r="M614" s="44" t="n">
        <x:v>-1331.22</x:v>
      </x:c>
      <x:c r="N614" s="41" t="n">
        <x:v>-1.2151378784697817</x:v>
      </x:c>
    </x:row>
    <x:row r="615" ht="15" hidden="0" customHeight="1">
      <x:c r="A615" s="43" t="str">
        <x:v>2026-03-29</x:v>
      </x:c>
      <x:c r="B615" s="39" t="str">
        <x:v>Partnerships</x:v>
      </x:c>
      <x:c r="C615" s="39" t="n">
        <x:v>2474</x:v>
      </x:c>
      <x:c r="D615" s="39" t="n">
        <x:v>76</x:v>
      </x:c>
      <x:c r="E615" s="39" t="n">
        <x:v>0</x:v>
      </x:c>
      <x:c r="F615" s="44" t="n">
        <x:v>964.76</x:v>
      </x:c>
      <x:c r="G615" s="44" t="n">
        <x:v>0</x:v>
      </x:c>
      <x:c r="H615" s="39" t="n">
        <x:v>6</x:v>
      </x:c>
      <x:c r="I615" s="41" t="n">
        <x:v>0.030719482619240096</x:v>
      </x:c>
      <x:c r="J615" s="41" t="n">
        <x:v>0</x:v>
      </x:c>
      <x:c r="K615" s="44"/>
      <x:c r="L615" s="42" t="n">
        <x:v>0</x:v>
      </x:c>
      <x:c r="M615" s="44" t="n">
        <x:v>-964.76</x:v>
      </x:c>
      <x:c r="N615" s="41"/>
    </x:row>
    <x:row r="616" ht="15" hidden="0" customHeight="1">
      <x:c r="A616" s="43" t="str">
        <x:v>2026-03-29</x:v>
      </x:c>
      <x:c r="B616" s="39" t="str">
        <x:v>Referral</x:v>
      </x:c>
      <x:c r="C616" s="39" t="n">
        <x:v>3160</x:v>
      </x:c>
      <x:c r="D616" s="39" t="n">
        <x:v>266</x:v>
      </x:c>
      <x:c r="E616" s="39" t="n">
        <x:v>7</x:v>
      </x:c>
      <x:c r="F616" s="44" t="n">
        <x:v>428.2</x:v>
      </x:c>
      <x:c r="G616" s="44" t="n">
        <x:v>3431.61</x:v>
      </x:c>
      <x:c r="H616" s="39" t="n">
        <x:v>6</x:v>
      </x:c>
      <x:c r="I616" s="41" t="n">
        <x:v>0.08417721518987342</x:v>
      </x:c>
      <x:c r="J616" s="41" t="n">
        <x:v>0.02631578947368421</x:v>
      </x:c>
      <x:c r="K616" s="44" t="n">
        <x:v>61.17142857142857</x:v>
      </x:c>
      <x:c r="L616" s="42" t="n">
        <x:v>8.014035497431108</x:v>
      </x:c>
      <x:c r="M616" s="44" t="n">
        <x:v>3003.4100000000003</x:v>
      </x:c>
      <x:c r="N616" s="41" t="n">
        <x:v>0.8752189205649826</x:v>
      </x:c>
    </x:row>
    <x:row r="617" ht="15" hidden="0" customHeight="1">
      <x:c r="A617" s="43" t="str">
        <x:v>2026-03-29</x:v>
      </x:c>
      <x:c r="B617" s="39" t="str">
        <x:v>SEO</x:v>
      </x:c>
      <x:c r="C617" s="39" t="n">
        <x:v>2136</x:v>
      </x:c>
      <x:c r="D617" s="39" t="n">
        <x:v>82</x:v>
      </x:c>
      <x:c r="E617" s="39" t="n">
        <x:v>1</x:v>
      </x:c>
      <x:c r="F617" s="44" t="n">
        <x:v>1132.74</x:v>
      </x:c>
      <x:c r="G617" s="44" t="n">
        <x:v>564.36</x:v>
      </x:c>
      <x:c r="H617" s="39" t="n">
        <x:v>6</x:v>
      </x:c>
      <x:c r="I617" s="41" t="n">
        <x:v>0.03838951310861423</x:v>
      </x:c>
      <x:c r="J617" s="41" t="n">
        <x:v>0.012195121951219513</x:v>
      </x:c>
      <x:c r="K617" s="44" t="n">
        <x:v>1132.74</x:v>
      </x:c>
      <x:c r="L617" s="42" t="n">
        <x:v>0.49822554160707666</x:v>
      </x:c>
      <x:c r="M617" s="44" t="n">
        <x:v>-568.38</x:v>
      </x:c>
      <x:c r="N617" s="41" t="n">
        <x:v>-1.0071231129066553</x:v>
      </x:c>
    </x:row>
    <x:row r="618" ht="15" hidden="0" customHeight="1">
      <x:c r="A618" s="43" t="str">
        <x:v>2026-03-30</x:v>
      </x:c>
      <x:c r="B618" s="39" t="str">
        <x:v>Content</x:v>
      </x:c>
      <x:c r="C618" s="39" t="n">
        <x:v>2376</x:v>
      </x:c>
      <x:c r="D618" s="39" t="n">
        <x:v>158</x:v>
      </x:c>
      <x:c r="E618" s="39" t="n">
        <x:v>3</x:v>
      </x:c>
      <x:c r="F618" s="44" t="n">
        <x:v>1297.58</x:v>
      </x:c>
      <x:c r="G618" s="44" t="n">
        <x:v>1241.52</x:v>
      </x:c>
      <x:c r="H618" s="39" t="n">
        <x:v>6</x:v>
      </x:c>
      <x:c r="I618" s="41" t="n">
        <x:v>0.0664983164983165</x:v>
      </x:c>
      <x:c r="J618" s="41" t="n">
        <x:v>0.0189873417721519</x:v>
      </x:c>
      <x:c r="K618" s="44" t="n">
        <x:v>432.52666666666664</x:v>
      </x:c>
      <x:c r="L618" s="42" t="n">
        <x:v>0.9567964980964565</x:v>
      </x:c>
      <x:c r="M618" s="44" t="n">
        <x:v>-56.059999999999945</x:v>
      </x:c>
      <x:c r="N618" s="41" t="n">
        <x:v>-0.04515432695405627</x:v>
      </x:c>
    </x:row>
    <x:row r="619" ht="15" hidden="0" customHeight="1">
      <x:c r="A619" s="43" t="str">
        <x:v>2026-03-30</x:v>
      </x:c>
      <x:c r="B619" s="39" t="str">
        <x:v>LinkedIn Ads</x:v>
      </x:c>
      <x:c r="C619" s="39" t="n">
        <x:v>2428</x:v>
      </x:c>
      <x:c r="D619" s="39" t="n">
        <x:v>144</x:v>
      </x:c>
      <x:c r="E619" s="39" t="n">
        <x:v>2</x:v>
      </x:c>
      <x:c r="F619" s="44" t="n">
        <x:v>2115.78</x:v>
      </x:c>
      <x:c r="G619" s="44" t="n">
        <x:v>1093.6100000000001</x:v>
      </x:c>
      <x:c r="H619" s="39" t="n">
        <x:v>6</x:v>
      </x:c>
      <x:c r="I619" s="41" t="n">
        <x:v>0.05930807248764415</x:v>
      </x:c>
      <x:c r="J619" s="41" t="n">
        <x:v>0.013888888888888888</x:v>
      </x:c>
      <x:c r="K619" s="44" t="n">
        <x:v>1057.89</x:v>
      </x:c>
      <x:c r="L619" s="42" t="n">
        <x:v>0.5168826626586885</x:v>
      </x:c>
      <x:c r="M619" s="44" t="n">
        <x:v>-1022.1700000000001</x:v>
      </x:c>
      <x:c r="N619" s="41" t="n">
        <x:v>-0.934675066980002</x:v>
      </x:c>
    </x:row>
    <x:row r="620" ht="15" hidden="0" customHeight="1">
      <x:c r="A620" s="43" t="str">
        <x:v>2026-03-30</x:v>
      </x:c>
      <x:c r="B620" s="39" t="str">
        <x:v>Outbound Sales</x:v>
      </x:c>
      <x:c r="C620" s="39" t="n">
        <x:v>3417</x:v>
      </x:c>
      <x:c r="D620" s="39" t="n">
        <x:v>162</x:v>
      </x:c>
      <x:c r="E620" s="39" t="n">
        <x:v>2</x:v>
      </x:c>
      <x:c r="F620" s="44" t="n">
        <x:v>1687.46</x:v>
      </x:c>
      <x:c r="G620" s="44" t="n">
        <x:v>1414.67</x:v>
      </x:c>
      <x:c r="H620" s="39" t="n">
        <x:v>6</x:v>
      </x:c>
      <x:c r="I620" s="41" t="n">
        <x:v>0.04741000877963126</x:v>
      </x:c>
      <x:c r="J620" s="41" t="n">
        <x:v>0.012345679012345678</x:v>
      </x:c>
      <x:c r="K620" s="44" t="n">
        <x:v>843.73</x:v>
      </x:c>
      <x:c r="L620" s="42" t="n">
        <x:v>0.838342834793121</x:v>
      </x:c>
      <x:c r="M620" s="44" t="n">
        <x:v>-272.78999999999996</x:v>
      </x:c>
      <x:c r="N620" s="41" t="n">
        <x:v>-0.19282942311634513</x:v>
      </x:c>
    </x:row>
    <x:row r="621" ht="15" hidden="0" customHeight="1">
      <x:c r="A621" s="43" t="str">
        <x:v>2026-03-30</x:v>
      </x:c>
      <x:c r="B621" s="39" t="str">
        <x:v>Paid Search</x:v>
      </x:c>
      <x:c r="C621" s="39" t="n">
        <x:v>2842</x:v>
      </x:c>
      <x:c r="D621" s="39" t="n">
        <x:v>252</x:v>
      </x:c>
      <x:c r="E621" s="39" t="n">
        <x:v>3</x:v>
      </x:c>
      <x:c r="F621" s="44" t="n">
        <x:v>3677.5</x:v>
      </x:c>
      <x:c r="G621" s="44" t="n">
        <x:v>1217.73</x:v>
      </x:c>
      <x:c r="H621" s="39" t="n">
        <x:v>6</x:v>
      </x:c>
      <x:c r="I621" s="41" t="n">
        <x:v>0.08866995073891626</x:v>
      </x:c>
      <x:c r="J621" s="41" t="n">
        <x:v>0.011904761904761904</x:v>
      </x:c>
      <x:c r="K621" s="44" t="n">
        <x:v>1225.8333333333333</x:v>
      </x:c>
      <x:c r="L621" s="42" t="n">
        <x:v>0.33112984364377973</x:v>
      </x:c>
      <x:c r="M621" s="44" t="n">
        <x:v>-2459.77</x:v>
      </x:c>
      <x:c r="N621" s="41" t="n">
        <x:v>-2.0199633744754584</x:v>
      </x:c>
    </x:row>
    <x:row r="622" ht="15" hidden="0" customHeight="1">
      <x:c r="A622" s="43" t="str">
        <x:v>2026-03-30</x:v>
      </x:c>
      <x:c r="B622" s="39" t="str">
        <x:v>Partnerships</x:v>
      </x:c>
      <x:c r="C622" s="39" t="n">
        <x:v>3356</x:v>
      </x:c>
      <x:c r="D622" s="39" t="n">
        <x:v>196</x:v>
      </x:c>
      <x:c r="E622" s="39" t="n">
        <x:v>2</x:v>
      </x:c>
      <x:c r="F622" s="44" t="n">
        <x:v>1414.53</x:v>
      </x:c>
      <x:c r="G622" s="44" t="n">
        <x:v>1116.79</x:v>
      </x:c>
      <x:c r="H622" s="39" t="n">
        <x:v>6</x:v>
      </x:c>
      <x:c r="I622" s="41" t="n">
        <x:v>0.058402860548271755</x:v>
      </x:c>
      <x:c r="J622" s="41" t="n">
        <x:v>0.01020408163265306</x:v>
      </x:c>
      <x:c r="K622" s="44" t="n">
        <x:v>707.265</x:v>
      </x:c>
      <x:c r="L622" s="42" t="n">
        <x:v>0.7895131245007175</x:v>
      </x:c>
      <x:c r="M622" s="44" t="n">
        <x:v>-297.74</x:v>
      </x:c>
      <x:c r="N622" s="41" t="n">
        <x:v>-0.2666033900733352</x:v>
      </x:c>
    </x:row>
    <x:row r="623" ht="15" hidden="0" customHeight="1">
      <x:c r="A623" s="43" t="str">
        <x:v>2026-03-30</x:v>
      </x:c>
      <x:c r="B623" s="39" t="str">
        <x:v>Referral</x:v>
      </x:c>
      <x:c r="C623" s="39" t="n">
        <x:v>3293</x:v>
      </x:c>
      <x:c r="D623" s="39" t="n">
        <x:v>235</x:v>
      </x:c>
      <x:c r="E623" s="39" t="n">
        <x:v>6</x:v>
      </x:c>
      <x:c r="F623" s="44" t="n">
        <x:v>486.17</x:v>
      </x:c>
      <x:c r="G623" s="44" t="n">
        <x:v>3322.6099999999997</x:v>
      </x:c>
      <x:c r="H623" s="39" t="n">
        <x:v>6</x:v>
      </x:c>
      <x:c r="I623" s="41" t="n">
        <x:v>0.07136349832979047</x:v>
      </x:c>
      <x:c r="J623" s="41" t="n">
        <x:v>0.02553191489361702</x:v>
      </x:c>
      <x:c r="K623" s="44" t="n">
        <x:v>81.02833333333334</x:v>
      </x:c>
      <x:c r="L623" s="42" t="n">
        <x:v>6.834255507332825</x:v>
      </x:c>
      <x:c r="M623" s="44" t="n">
        <x:v>2836.4399999999996</x:v>
      </x:c>
      <x:c r="N623" s="41" t="n">
        <x:v>0.8536782830365285</x:v>
      </x:c>
    </x:row>
    <x:row r="624" ht="15" hidden="0" customHeight="1">
      <x:c r="A624" s="43" t="str">
        <x:v>2026-03-30</x:v>
      </x:c>
      <x:c r="B624" s="39" t="str">
        <x:v>SEO</x:v>
      </x:c>
      <x:c r="C624" s="39" t="n">
        <x:v>1990</x:v>
      </x:c>
      <x:c r="D624" s="39" t="n">
        <x:v>101</x:v>
      </x:c>
      <x:c r="E624" s="39" t="n">
        <x:v>1</x:v>
      </x:c>
      <x:c r="F624" s="44" t="n">
        <x:v>1516.92</x:v>
      </x:c>
      <x:c r="G624" s="44" t="n">
        <x:v>305.35</x:v>
      </x:c>
      <x:c r="H624" s="39" t="n">
        <x:v>6</x:v>
      </x:c>
      <x:c r="I624" s="41" t="n">
        <x:v>0.05075376884422111</x:v>
      </x:c>
      <x:c r="J624" s="41" t="n">
        <x:v>0.009900990099009901</x:v>
      </x:c>
      <x:c r="K624" s="44" t="n">
        <x:v>1516.92</x:v>
      </x:c>
      <x:c r="L624" s="42" t="n">
        <x:v>0.20129604725364555</x:v>
      </x:c>
      <x:c r="M624" s="44" t="n">
        <x:v>-1211.5700000000002</x:v>
      </x:c>
      <x:c r="N624" s="41" t="n">
        <x:v>-3.967807434092026</x:v>
      </x:c>
    </x:row>
    <x:row r="625" ht="15" hidden="0" customHeight="1">
      <x:c r="A625" s="43" t="str">
        <x:v>2026-03-31</x:v>
      </x:c>
      <x:c r="B625" s="39" t="str">
        <x:v>Content</x:v>
      </x:c>
      <x:c r="C625" s="39" t="n">
        <x:v>1467</x:v>
      </x:c>
      <x:c r="D625" s="39" t="n">
        <x:v>73</x:v>
      </x:c>
      <x:c r="E625" s="39" t="n">
        <x:v>0</x:v>
      </x:c>
      <x:c r="F625" s="44" t="n">
        <x:v>1109.45</x:v>
      </x:c>
      <x:c r="G625" s="44" t="n">
        <x:v>0</x:v>
      </x:c>
      <x:c r="H625" s="39" t="n">
        <x:v>6</x:v>
      </x:c>
      <x:c r="I625" s="41" t="n">
        <x:v>0.04976141785957737</x:v>
      </x:c>
      <x:c r="J625" s="41" t="n">
        <x:v>0</x:v>
      </x:c>
      <x:c r="K625" s="44"/>
      <x:c r="L625" s="42" t="n">
        <x:v>0</x:v>
      </x:c>
      <x:c r="M625" s="44" t="n">
        <x:v>-1109.45</x:v>
      </x:c>
      <x:c r="N625" s="41"/>
    </x:row>
    <x:row r="626" ht="15" hidden="0" customHeight="1">
      <x:c r="A626" s="43" t="str">
        <x:v>2026-03-31</x:v>
      </x:c>
      <x:c r="B626" s="39" t="str">
        <x:v>LinkedIn Ads</x:v>
      </x:c>
      <x:c r="C626" s="39" t="n">
        <x:v>1566</x:v>
      </x:c>
      <x:c r="D626" s="39" t="n">
        <x:v>102</x:v>
      </x:c>
      <x:c r="E626" s="39" t="n">
        <x:v>0</x:v>
      </x:c>
      <x:c r="F626" s="44" t="n">
        <x:v>1607.99</x:v>
      </x:c>
      <x:c r="G626" s="44" t="n">
        <x:v>0</x:v>
      </x:c>
      <x:c r="H626" s="39" t="n">
        <x:v>6</x:v>
      </x:c>
      <x:c r="I626" s="41" t="n">
        <x:v>0.06513409961685823</x:v>
      </x:c>
      <x:c r="J626" s="41" t="n">
        <x:v>0</x:v>
      </x:c>
      <x:c r="K626" s="44"/>
      <x:c r="L626" s="42" t="n">
        <x:v>0</x:v>
      </x:c>
      <x:c r="M626" s="44" t="n">
        <x:v>-1607.99</x:v>
      </x:c>
      <x:c r="N626" s="41"/>
    </x:row>
    <x:row r="627" ht="15" hidden="0" customHeight="1">
      <x:c r="A627" s="43" t="str">
        <x:v>2026-03-31</x:v>
      </x:c>
      <x:c r="B627" s="39" t="str">
        <x:v>Outbound Sales</x:v>
      </x:c>
      <x:c r="C627" s="39" t="n">
        <x:v>2722</x:v>
      </x:c>
      <x:c r="D627" s="39" t="n">
        <x:v>180</x:v>
      </x:c>
      <x:c r="E627" s="39" t="n">
        <x:v>1</x:v>
      </x:c>
      <x:c r="F627" s="44" t="n">
        <x:v>1669.67</x:v>
      </x:c>
      <x:c r="G627" s="44" t="n">
        <x:v>899.34</x:v>
      </x:c>
      <x:c r="H627" s="39" t="n">
        <x:v>6</x:v>
      </x:c>
      <x:c r="I627" s="41" t="n">
        <x:v>0.06612784717119764</x:v>
      </x:c>
      <x:c r="J627" s="41" t="n">
        <x:v>0.005555555555555556</x:v>
      </x:c>
      <x:c r="K627" s="44" t="n">
        <x:v>1669.67</x:v>
      </x:c>
      <x:c r="L627" s="42" t="n">
        <x:v>0.5386333826444747</x:v>
      </x:c>
      <x:c r="M627" s="44" t="n">
        <x:v>-770.33</x:v>
      </x:c>
      <x:c r="N627" s="41" t="n">
        <x:v>-0.8565503591522672</x:v>
      </x:c>
    </x:row>
    <x:row r="628" ht="15" hidden="0" customHeight="1">
      <x:c r="A628" s="43" t="str">
        <x:v>2026-03-31</x:v>
      </x:c>
      <x:c r="B628" s="39" t="str">
        <x:v>Paid Search</x:v>
      </x:c>
      <x:c r="C628" s="39" t="n">
        <x:v>3252</x:v>
      </x:c>
      <x:c r="D628" s="39" t="n">
        <x:v>287</x:v>
      </x:c>
      <x:c r="E628" s="39" t="n">
        <x:v>4</x:v>
      </x:c>
      <x:c r="F628" s="44" t="n">
        <x:v>2782.41</x:v>
      </x:c>
      <x:c r="G628" s="44" t="n">
        <x:v>2074.61</x:v>
      </x:c>
      <x:c r="H628" s="39" t="n">
        <x:v>6</x:v>
      </x:c>
      <x:c r="I628" s="41" t="n">
        <x:v>0.08825338253382534</x:v>
      </x:c>
      <x:c r="J628" s="41" t="n">
        <x:v>0.013937282229965157</x:v>
      </x:c>
      <x:c r="K628" s="44" t="n">
        <x:v>695.6025</x:v>
      </x:c>
      <x:c r="L628" s="42" t="n">
        <x:v>0.7456162104075245</x:v>
      </x:c>
      <x:c r="M628" s="44" t="n">
        <x:v>-707.7999999999997</x:v>
      </x:c>
      <x:c r="N628" s="41" t="n">
        <x:v>-0.34117255773374255</x:v>
      </x:c>
    </x:row>
    <x:row r="629" ht="15" hidden="0" customHeight="1">
      <x:c r="A629" s="43" t="str">
        <x:v>2026-03-31</x:v>
      </x:c>
      <x:c r="B629" s="39" t="str">
        <x:v>Partnerships</x:v>
      </x:c>
      <x:c r="C629" s="39" t="n">
        <x:v>2460</x:v>
      </x:c>
      <x:c r="D629" s="39" t="n">
        <x:v>104</x:v>
      </x:c>
      <x:c r="E629" s="39" t="n">
        <x:v>1</x:v>
      </x:c>
      <x:c r="F629" s="44" t="n">
        <x:v>1232.94</x:v>
      </x:c>
      <x:c r="G629" s="44" t="n">
        <x:v>706.86</x:v>
      </x:c>
      <x:c r="H629" s="39" t="n">
        <x:v>6</x:v>
      </x:c>
      <x:c r="I629" s="41" t="n">
        <x:v>0.04227642276422764</x:v>
      </x:c>
      <x:c r="J629" s="41" t="n">
        <x:v>0.009615384615384616</x:v>
      </x:c>
      <x:c r="K629" s="44" t="n">
        <x:v>1232.94</x:v>
      </x:c>
      <x:c r="L629" s="42" t="n">
        <x:v>0.5733125699547423</x:v>
      </x:c>
      <x:c r="M629" s="44" t="n">
        <x:v>-526.08</x:v>
      </x:c>
      <x:c r="N629" s="41" t="n">
        <x:v>-0.7442492148374502</x:v>
      </x:c>
    </x:row>
    <x:row r="630" ht="15" hidden="0" customHeight="1">
      <x:c r="A630" s="43" t="str">
        <x:v>2026-03-31</x:v>
      </x:c>
      <x:c r="B630" s="39" t="str">
        <x:v>Referral</x:v>
      </x:c>
      <x:c r="C630" s="39" t="n">
        <x:v>3892</x:v>
      </x:c>
      <x:c r="D630" s="39" t="n">
        <x:v>310</x:v>
      </x:c>
      <x:c r="E630" s="39" t="n">
        <x:v>10</x:v>
      </x:c>
      <x:c r="F630" s="44" t="n">
        <x:v>572.97</x:v>
      </x:c>
      <x:c r="G630" s="44" t="n">
        <x:v>4694.79</x:v>
      </x:c>
      <x:c r="H630" s="39" t="n">
        <x:v>6</x:v>
      </x:c>
      <x:c r="I630" s="41" t="n">
        <x:v>0.07965056526207605</x:v>
      </x:c>
      <x:c r="J630" s="41" t="n">
        <x:v>0.03225806451612903</x:v>
      </x:c>
      <x:c r="K630" s="44" t="n">
        <x:v>57.297000000000004</x:v>
      </x:c>
      <x:c r="L630" s="42" t="n">
        <x:v>8.193779779046023</x:v>
      </x:c>
      <x:c r="M630" s="44" t="n">
        <x:v>4121.82</x:v>
      </x:c>
      <x:c r="N630" s="41" t="n">
        <x:v>0.8779562025138504</x:v>
      </x:c>
    </x:row>
    <x:row r="631" ht="15" hidden="0" customHeight="1">
      <x:c r="A631" s="43" t="str">
        <x:v>2026-03-31</x:v>
      </x:c>
      <x:c r="B631" s="39" t="str">
        <x:v>SEO</x:v>
      </x:c>
      <x:c r="C631" s="39" t="n">
        <x:v>1577</x:v>
      </x:c>
      <x:c r="D631" s="39" t="n">
        <x:v>72</x:v>
      </x:c>
      <x:c r="E631" s="39" t="n">
        <x:v>1</x:v>
      </x:c>
      <x:c r="F631" s="44" t="n">
        <x:v>1358.8799999999999</x:v>
      </x:c>
      <x:c r="G631" s="44" t="n">
        <x:v>725.84</x:v>
      </x:c>
      <x:c r="H631" s="39" t="n">
        <x:v>6</x:v>
      </x:c>
      <x:c r="I631" s="41" t="n">
        <x:v>0.045656309448319596</x:v>
      </x:c>
      <x:c r="J631" s="41" t="n">
        <x:v>0.013888888888888888</x:v>
      </x:c>
      <x:c r="K631" s="44" t="n">
        <x:v>1358.8799999999999</x:v>
      </x:c>
      <x:c r="L631" s="42" t="n">
        <x:v>0.5341457671023196</x:v>
      </x:c>
      <x:c r="M631" s="44" t="n">
        <x:v>-633.0399999999998</x:v>
      </x:c>
      <x:c r="N631" s="41" t="n">
        <x:v>-0.8721481318196845</x:v>
      </x:c>
    </x:row>
  </x:sheetData>
  <x:pageMargins left="0.7" right="0.7" top="0.75" bottom="0.75" header="0.3" footer="0.3"/>
  <x:tableParts count="1">
    <x:tablePart xmlns:r="http://schemas.openxmlformats.org/officeDocument/2006/relationships" r:id="Rf0e0e7dcf9ea4a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9" hidden="0" customWidth="1"/>
    <x:col min="5" max="5" width="9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3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</x:cols>
  <x:sheetData>
    <x:row r="1" ht="48" hidden="0" customHeight="1">
      <x:c r="A1" s="12" t="str">
        <x:v>metric</x:v>
      </x:c>
      <x:c r="B1" s="12" t="str">
        <x:v>channel_a</x:v>
      </x:c>
      <x:c r="C1" s="12" t="str">
        <x:v>channel_b</x:v>
      </x:c>
      <x:c r="D1" s="12" t="str">
        <x:v>n_a</x:v>
      </x:c>
      <x:c r="E1" s="12" t="str">
        <x:v>n_b</x:v>
      </x:c>
      <x:c r="F1" s="12" t="str">
        <x:v>mean_a</x:v>
      </x:c>
      <x:c r="G1" s="12" t="str">
        <x:v>mean_b</x:v>
      </x:c>
      <x:c r="H1" s="12" t="str">
        <x:v>difference_b_minus_a</x:v>
      </x:c>
      <x:c r="I1" s="12" t="str">
        <x:v>percent_difference_vs_a</x:v>
      </x:c>
      <x:c r="J1" s="12" t="str">
        <x:v>t_statistic</x:v>
      </x:c>
      <x:c r="K1" s="12" t="str">
        <x:v>p_value</x:v>
      </x:c>
      <x:c r="L1" s="12" t="str">
        <x:v>cohens_d</x:v>
      </x:c>
      <x:c r="M1" s="12" t="str">
        <x:v>effect_size</x:v>
      </x:c>
      <x:c r="N1" s="12" t="str">
        <x:v>significant_uncorrected</x:v>
      </x:c>
      <x:c r="O1" s="12" t="str">
        <x:v>bonferroni_alpha</x:v>
      </x:c>
      <x:c r="P1" s="12" t="str">
        <x:v>p_value_bonferroni</x:v>
      </x:c>
      <x:c r="Q1" s="12" t="str">
        <x:v>significant_bonferroni</x:v>
      </x:c>
      <x:c r="R1" s="12" t="str">
        <x:v>p_value_fdr</x:v>
      </x:c>
      <x:c r="S1" s="12" t="str">
        <x:v>significant_fdr</x:v>
      </x:c>
    </x:row>
    <x:row r="2" ht="15" hidden="0" customHeight="1">
      <x:c r="A2" s="39" t="str">
        <x:v>daily_cpa</x:v>
      </x:c>
      <x:c r="B2" s="39" t="str">
        <x:v>Content</x:v>
      </x:c>
      <x:c r="C2" s="39" t="str">
        <x:v>LinkedIn Ads</x:v>
      </x:c>
      <x:c r="D2" s="39" t="n">
        <x:v>70</x:v>
      </x:c>
      <x:c r="E2" s="39" t="n">
        <x:v>66</x:v>
      </x:c>
      <x:c r="F2" s="44" t="n">
        <x:v>791.9856666666668</x:v>
      </x:c>
      <x:c r="G2" s="44" t="n">
        <x:v>1293.2994570707071</x:v>
      </x:c>
      <x:c r="H2" s="44" t="n">
        <x:v>501.31379040404033</x:v>
      </x:c>
      <x:c r="I2" s="47" t="n">
        <x:v>0.6329834130887557</x:v>
      </x:c>
      <x:c r="J2" s="48" t="n">
        <x:v>-9.269554778512227</x:v>
      </x:c>
      <x:c r="K2" s="49" t="n">
        <x:v>8.956658662267461e-16</x:v>
      </x:c>
      <x:c r="L2" s="48" t="n">
        <x:v>1.5967792873442603</x:v>
      </x:c>
      <x:c r="M2" s="39" t="str">
        <x:v>large</x:v>
      </x:c>
      <x:c r="N2" s="46" t="b">
        <x:v>1</x:v>
      </x:c>
      <x:c r="O2" s="49" t="n">
        <x:v>0.002380952380952381</x:v>
      </x:c>
      <x:c r="P2" s="49" t="n">
        <x:v>1.880898319076167e-14</x:v>
      </x:c>
      <x:c r="Q2" s="46" t="b">
        <x:v>1</x:v>
      </x:c>
      <x:c r="R2" s="49" t="n">
        <x:v>2.686997598680238e-15</x:v>
      </x:c>
      <x:c r="S2" s="46" t="b">
        <x:v>1</x:v>
      </x:c>
    </x:row>
    <x:row r="3" ht="15" hidden="0" customHeight="1">
      <x:c r="A3" s="39" t="str">
        <x:v>daily_cpa</x:v>
      </x:c>
      <x:c r="B3" s="39" t="str">
        <x:v>Content</x:v>
      </x:c>
      <x:c r="C3" s="39" t="str">
        <x:v>Outbound Sales</x:v>
      </x:c>
      <x:c r="D3" s="39" t="n">
        <x:v>70</x:v>
      </x:c>
      <x:c r="E3" s="39" t="n">
        <x:v>72</x:v>
      </x:c>
      <x:c r="F3" s="44" t="n">
        <x:v>791.9856666666668</x:v>
      </x:c>
      <x:c r="G3" s="44" t="n">
        <x:v>1171.1949537037037</x:v>
      </x:c>
      <x:c r="H3" s="44" t="n">
        <x:v>379.2092870370369</x:v>
      </x:c>
      <x:c r="I3" s="47" t="n">
        <x:v>0.4788082701459288</x:v>
      </x:c>
      <x:c r="J3" s="48" t="n">
        <x:v>-6.794376736561</x:v>
      </x:c>
      <x:c r="K3" s="49" t="n">
        <x:v>3.8317627283754817e-10</x:v>
      </x:c>
      <x:c r="L3" s="48" t="n">
        <x:v>1.1375993054638827</x:v>
      </x:c>
      <x:c r="M3" s="39" t="str">
        <x:v>large</x:v>
      </x:c>
      <x:c r="N3" s="46" t="b">
        <x:v>1</x:v>
      </x:c>
      <x:c r="O3" s="49" t="n">
        <x:v>0.002380952380952381</x:v>
      </x:c>
      <x:c r="P3" s="49" t="n">
        <x:v>8.046701729588512e-9</x:v>
      </x:c>
      <x:c r="Q3" s="46" t="b">
        <x:v>1</x:v>
      </x:c>
      <x:c r="R3" s="49" t="n">
        <x:v>8.046701729588512e-10</x:v>
      </x:c>
      <x:c r="S3" s="46" t="b">
        <x:v>1</x:v>
      </x:c>
    </x:row>
    <x:row r="4" ht="15" hidden="0" customHeight="1">
      <x:c r="A4" s="39" t="str">
        <x:v>daily_cpa</x:v>
      </x:c>
      <x:c r="B4" s="39" t="str">
        <x:v>Content</x:v>
      </x:c>
      <x:c r="C4" s="39" t="str">
        <x:v>Paid Search</x:v>
      </x:c>
      <x:c r="D4" s="39" t="n">
        <x:v>70</x:v>
      </x:c>
      <x:c r="E4" s="39" t="n">
        <x:v>90</x:v>
      </x:c>
      <x:c r="F4" s="44" t="n">
        <x:v>791.9856666666668</x:v>
      </x:c>
      <x:c r="G4" s="44" t="n">
        <x:v>1110.1713462962962</x:v>
      </x:c>
      <x:c r="H4" s="44" t="n">
        <x:v>318.18567962962936</x:v>
      </x:c>
      <x:c r="I4" s="47" t="n">
        <x:v>0.40175686634433533</x:v>
      </x:c>
      <x:c r="J4" s="48" t="n">
        <x:v>-5.766861991235679</x:v>
      </x:c>
      <x:c r="K4" s="49" t="n">
        <x:v>4.3799999619751056e-8</x:v>
      </x:c>
      <x:c r="L4" s="48" t="n">
        <x:v>0.8937056359947744</x:v>
      </x:c>
      <x:c r="M4" s="39" t="str">
        <x:v>large</x:v>
      </x:c>
      <x:c r="N4" s="46" t="b">
        <x:v>1</x:v>
      </x:c>
      <x:c r="O4" s="49" t="n">
        <x:v>0.002380952380952381</x:v>
      </x:c>
      <x:c r="P4" s="49" t="n">
        <x:v>9.197999920147722e-7</x:v>
      </x:c>
      <x:c r="Q4" s="46" t="b">
        <x:v>1</x:v>
      </x:c>
      <x:c r="R4" s="49" t="n">
        <x:v>7.664999933456435e-8</x:v>
      </x:c>
      <x:c r="S4" s="46" t="b">
        <x:v>1</x:v>
      </x:c>
    </x:row>
    <x:row r="5" ht="15" hidden="0" customHeight="1">
      <x:c r="A5" s="39" t="str">
        <x:v>daily_cpa</x:v>
      </x:c>
      <x:c r="B5" s="39" t="str">
        <x:v>Content</x:v>
      </x:c>
      <x:c r="C5" s="39" t="str">
        <x:v>Partnerships</x:v>
      </x:c>
      <x:c r="D5" s="39" t="n">
        <x:v>70</x:v>
      </x:c>
      <x:c r="E5" s="39" t="n">
        <x:v>69</x:v>
      </x:c>
      <x:c r="F5" s="44" t="n">
        <x:v>791.9856666666668</x:v>
      </x:c>
      <x:c r="G5" s="44" t="n">
        <x:v>876.054384057971</x:v>
      </x:c>
      <x:c r="H5" s="44" t="n">
        <x:v>84.06871739130418</x:v>
      </x:c>
      <x:c r="I5" s="47" t="n">
        <x:v>0.1061492914955584</x:v>
      </x:c>
      <x:c r="J5" s="48" t="n">
        <x:v>-1.775371359158969</x:v>
      </x:c>
      <x:c r="K5" s="49" t="n">
        <x:v>0.07807676545097794</x:v>
      </x:c>
      <x:c r="L5" s="48" t="n">
        <x:v>0.301264486376094</x:v>
      </x:c>
      <x:c r="M5" s="39" t="str">
        <x:v>small</x:v>
      </x:c>
      <x:c r="N5" s="46" t="b">
        <x:v>0</x:v>
      </x:c>
      <x:c r="O5" s="49" t="n">
        <x:v>0.002380952380952381</x:v>
      </x:c>
      <x:c r="P5" s="49" t="n">
        <x:v>1</x:v>
      </x:c>
      <x:c r="Q5" s="46" t="b">
        <x:v>0</x:v>
      </x:c>
      <x:c r="R5" s="49" t="n">
        <x:v>0.0910895596928076</x:v>
      </x:c>
      <x:c r="S5" s="46" t="b">
        <x:v>0</x:v>
      </x:c>
    </x:row>
    <x:row r="6" ht="15" hidden="0" customHeight="1">
      <x:c r="A6" s="39" t="str">
        <x:v>daily_cpa</x:v>
      </x:c>
      <x:c r="B6" s="39" t="str">
        <x:v>Content</x:v>
      </x:c>
      <x:c r="C6" s="39" t="str">
        <x:v>Referral</x:v>
      </x:c>
      <x:c r="D6" s="39" t="n">
        <x:v>70</x:v>
      </x:c>
      <x:c r="E6" s="39" t="n">
        <x:v>90</x:v>
      </x:c>
      <x:c r="F6" s="44" t="n">
        <x:v>791.9856666666668</x:v>
      </x:c>
      <x:c r="G6" s="44" t="n">
        <x:v>83.92513465608467</x:v>
      </x:c>
      <x:c r="H6" s="44" t="n">
        <x:v>-708.0605320105822</x:v>
      </x:c>
      <x:c r="I6" s="47" t="n">
        <x:v>-0.8940320031177946</x:v>
      </x:c>
      <x:c r="J6" s="48" t="n">
        <x:v>21.884755304233128</x:v>
      </x:c>
      <x:c r="K6" s="49" t="n">
        <x:v>1.4032169053456587e-33</x:v>
      </x:c>
      <x:c r="L6" s="48" t="n">
        <x:v>-3.6874862702454276</x:v>
      </x:c>
      <x:c r="M6" s="39" t="str">
        <x:v>large</x:v>
      </x:c>
      <x:c r="N6" s="46" t="b">
        <x:v>1</x:v>
      </x:c>
      <x:c r="O6" s="49" t="n">
        <x:v>0.002380952380952381</x:v>
      </x:c>
      <x:c r="P6" s="49" t="n">
        <x:v>2.946755501225883e-32</x:v>
      </x:c>
      <x:c r="Q6" s="46" t="b">
        <x:v>1</x:v>
      </x:c>
      <x:c r="R6" s="49" t="n">
        <x:v>4.9112591687098056e-33</x:v>
      </x:c>
      <x:c r="S6" s="46" t="b">
        <x:v>1</x:v>
      </x:c>
    </x:row>
    <x:row r="7" ht="15" hidden="0" customHeight="1">
      <x:c r="A7" s="39" t="str">
        <x:v>daily_cpa</x:v>
      </x:c>
      <x:c r="B7" s="39" t="str">
        <x:v>Content</x:v>
      </x:c>
      <x:c r="C7" s="39" t="str">
        <x:v>SEO</x:v>
      </x:c>
      <x:c r="D7" s="39" t="n">
        <x:v>70</x:v>
      </x:c>
      <x:c r="E7" s="39" t="n">
        <x:v>83</x:v>
      </x:c>
      <x:c r="F7" s="44" t="n">
        <x:v>791.9856666666668</x:v>
      </x:c>
      <x:c r="G7" s="44" t="n">
        <x:v>795.8479819277107</x:v>
      </x:c>
      <x:c r="H7" s="44" t="n">
        <x:v>3.862315261043932</x:v>
      </x:c>
      <x:c r="I7" s="47" t="n">
        <x:v>0.004876748940798085</x:v>
      </x:c>
      <x:c r="J7" s="48" t="n">
        <x:v>-0.08301280746750692</x:v>
      </x:c>
      <x:c r="K7" s="49" t="n">
        <x:v>0.9339514105697246</x:v>
      </x:c>
      <x:c r="L7" s="48" t="n">
        <x:v>0.013391454433088234</x:v>
      </x:c>
      <x:c r="M7" s="39" t="str">
        <x:v>negligible</x:v>
      </x:c>
      <x:c r="N7" s="46" t="b">
        <x:v>0</x:v>
      </x:c>
      <x:c r="O7" s="49" t="n">
        <x:v>0.002380952380952381</x:v>
      </x:c>
      <x:c r="P7" s="49" t="n">
        <x:v>1</x:v>
      </x:c>
      <x:c r="Q7" s="46" t="b">
        <x:v>0</x:v>
      </x:c>
      <x:c r="R7" s="49" t="n">
        <x:v>0.9339514105697246</x:v>
      </x:c>
      <x:c r="S7" s="46" t="b">
        <x:v>0</x:v>
      </x:c>
    </x:row>
    <x:row r="8" ht="15" hidden="0" customHeight="1">
      <x:c r="A8" s="39" t="str">
        <x:v>daily_cpa</x:v>
      </x:c>
      <x:c r="B8" s="39" t="str">
        <x:v>LinkedIn Ads</x:v>
      </x:c>
      <x:c r="C8" s="39" t="str">
        <x:v>Outbound Sales</x:v>
      </x:c>
      <x:c r="D8" s="39" t="n">
        <x:v>66</x:v>
      </x:c>
      <x:c r="E8" s="39" t="n">
        <x:v>72</x:v>
      </x:c>
      <x:c r="F8" s="44" t="n">
        <x:v>1293.2994570707071</x:v>
      </x:c>
      <x:c r="G8" s="44" t="n">
        <x:v>1171.1949537037037</x:v>
      </x:c>
      <x:c r="H8" s="44" t="n">
        <x:v>-122.10450336700342</x:v>
      </x:c>
      <x:c r="I8" s="47" t="n">
        <x:v>-0.09441317144257312</x:v>
      </x:c>
      <x:c r="J8" s="48" t="n">
        <x:v>1.9323589605728226</x:v>
      </x:c>
      <x:c r="K8" s="49" t="n">
        <x:v>0.05539413661447768</x:v>
      </x:c>
      <x:c r="L8" s="48" t="n">
        <x:v>-0.3286465445660484</x:v>
      </x:c>
      <x:c r="M8" s="39" t="str">
        <x:v>small</x:v>
      </x:c>
      <x:c r="N8" s="46" t="b">
        <x:v>0</x:v>
      </x:c>
      <x:c r="O8" s="49" t="n">
        <x:v>0.002380952380952381</x:v>
      </x:c>
      <x:c r="P8" s="49" t="n">
        <x:v>1</x:v>
      </x:c>
      <x:c r="Q8" s="46" t="b">
        <x:v>0</x:v>
      </x:c>
      <x:c r="R8" s="49" t="n">
        <x:v>0.06842805111200184</x:v>
      </x:c>
      <x:c r="S8" s="46" t="b">
        <x:v>0</x:v>
      </x:c>
    </x:row>
    <x:row r="9" ht="15" hidden="0" customHeight="1">
      <x:c r="A9" s="39" t="str">
        <x:v>daily_cpa</x:v>
      </x:c>
      <x:c r="B9" s="39" t="str">
        <x:v>LinkedIn Ads</x:v>
      </x:c>
      <x:c r="C9" s="39" t="str">
        <x:v>Paid Search</x:v>
      </x:c>
      <x:c r="D9" s="39" t="n">
        <x:v>66</x:v>
      </x:c>
      <x:c r="E9" s="39" t="n">
        <x:v>90</x:v>
      </x:c>
      <x:c r="F9" s="44" t="n">
        <x:v>1293.2994570707071</x:v>
      </x:c>
      <x:c r="G9" s="44" t="n">
        <x:v>1110.1713462962962</x:v>
      </x:c>
      <x:c r="H9" s="44" t="n">
        <x:v>-183.12811077441097</x:v>
      </x:c>
      <x:c r="I9" s="47" t="n">
        <x:v>-0.14159760894757648</x:v>
      </x:c>
      <x:c r="J9" s="48" t="n">
        <x:v>2.9241039220160827</x:v>
      </x:c>
      <x:c r="K9" s="49" t="n">
        <x:v>0.003985026654546987</x:v>
      </x:c>
      <x:c r="L9" s="48" t="n">
        <x:v>-0.4671384858053265</x:v>
      </x:c>
      <x:c r="M9" s="39" t="str">
        <x:v>small</x:v>
      </x:c>
      <x:c r="N9" s="46" t="b">
        <x:v>1</x:v>
      </x:c>
      <x:c r="O9" s="49" t="n">
        <x:v>0.002380952380952381</x:v>
      </x:c>
      <x:c r="P9" s="49" t="n">
        <x:v>0.08368555974548672</x:v>
      </x:c>
      <x:c r="Q9" s="46" t="b">
        <x:v>0</x:v>
      </x:c>
      <x:c r="R9" s="49" t="n">
        <x:v>0.00523034748409292</x:v>
      </x:c>
      <x:c r="S9" s="46" t="b">
        <x:v>1</x:v>
      </x:c>
    </x:row>
    <x:row r="10" ht="15" hidden="0" customHeight="1">
      <x:c r="A10" s="39" t="str">
        <x:v>daily_cpa</x:v>
      </x:c>
      <x:c r="B10" s="39" t="str">
        <x:v>LinkedIn Ads</x:v>
      </x:c>
      <x:c r="C10" s="39" t="str">
        <x:v>Partnerships</x:v>
      </x:c>
      <x:c r="D10" s="39" t="n">
        <x:v>66</x:v>
      </x:c>
      <x:c r="E10" s="39" t="n">
        <x:v>69</x:v>
      </x:c>
      <x:c r="F10" s="44" t="n">
        <x:v>1293.2994570707071</x:v>
      </x:c>
      <x:c r="G10" s="44" t="n">
        <x:v>876.054384057971</x:v>
      </x:c>
      <x:c r="H10" s="44" t="n">
        <x:v>-417.24507301273616</x:v>
      </x:c>
      <x:c r="I10" s="47" t="n">
        <x:v>-0.32262062025278077</x:v>
      </x:c>
      <x:c r="J10" s="48" t="n">
        <x:v>7.469678925272399</x:v>
      </x:c>
      <x:c r="K10" s="49" t="n">
        <x:v>1.1854864613959526e-11</x:v>
      </x:c>
      <x:c r="L10" s="48" t="n">
        <x:v>-1.2889118634281895</x:v>
      </x:c>
      <x:c r="M10" s="39" t="str">
        <x:v>large</x:v>
      </x:c>
      <x:c r="N10" s="46" t="b">
        <x:v>1</x:v>
      </x:c>
      <x:c r="O10" s="49" t="n">
        <x:v>0.002380952380952381</x:v>
      </x:c>
      <x:c r="P10" s="49" t="n">
        <x:v>2.4895215689315006e-10</x:v>
      </x:c>
      <x:c r="Q10" s="46" t="b">
        <x:v>1</x:v>
      </x:c>
      <x:c r="R10" s="49" t="n">
        <x:v>2.7661350765905563e-11</x:v>
      </x:c>
      <x:c r="S10" s="46" t="b">
        <x:v>1</x:v>
      </x:c>
    </x:row>
    <x:row r="11" ht="15" hidden="0" customHeight="1">
      <x:c r="A11" s="39" t="str">
        <x:v>daily_cpa</x:v>
      </x:c>
      <x:c r="B11" s="39" t="str">
        <x:v>LinkedIn Ads</x:v>
      </x:c>
      <x:c r="C11" s="39" t="str">
        <x:v>Referral</x:v>
      </x:c>
      <x:c r="D11" s="39" t="n">
        <x:v>66</x:v>
      </x:c>
      <x:c r="E11" s="39" t="n">
        <x:v>90</x:v>
      </x:c>
      <x:c r="F11" s="44" t="n">
        <x:v>1293.2994570707071</x:v>
      </x:c>
      <x:c r="G11" s="44" t="n">
        <x:v>83.92513465608467</x:v>
      </x:c>
      <x:c r="H11" s="44" t="n">
        <x:v>-1209.3743224146224</x:v>
      </x:c>
      <x:c r="I11" s="47" t="n">
        <x:v>-0.9351077322446472</x:v>
      </x:c>
      <x:c r="J11" s="48" t="n">
        <x:v>27.566533608287365</x:v>
      </x:c>
      <x:c r="K11" s="49" t="n">
        <x:v>3.8443545345954384e-38</x:v>
      </x:c>
      <x:c r="L11" s="48" t="n">
        <x:v>-4.7881848710877435</x:v>
      </x:c>
      <x:c r="M11" s="39" t="str">
        <x:v>large</x:v>
      </x:c>
      <x:c r="N11" s="46" t="b">
        <x:v>1</x:v>
      </x:c>
      <x:c r="O11" s="49" t="n">
        <x:v>0.002380952380952381</x:v>
      </x:c>
      <x:c r="P11" s="49" t="n">
        <x:v>8.07314452265042e-37</x:v>
      </x:c>
      <x:c r="Q11" s="46" t="b">
        <x:v>1</x:v>
      </x:c>
      <x:c r="R11" s="49" t="n">
        <x:v>4.03657226132521e-37</x:v>
      </x:c>
      <x:c r="S11" s="46" t="b">
        <x:v>1</x:v>
      </x:c>
    </x:row>
    <x:row r="12" ht="15" hidden="0" customHeight="1">
      <x:c r="A12" s="39" t="str">
        <x:v>daily_cpa</x:v>
      </x:c>
      <x:c r="B12" s="39" t="str">
        <x:v>LinkedIn Ads</x:v>
      </x:c>
      <x:c r="C12" s="39" t="str">
        <x:v>SEO</x:v>
      </x:c>
      <x:c r="D12" s="39" t="n">
        <x:v>66</x:v>
      </x:c>
      <x:c r="E12" s="39" t="n">
        <x:v>83</x:v>
      </x:c>
      <x:c r="F12" s="44" t="n">
        <x:v>1293.2994570707071</x:v>
      </x:c>
      <x:c r="G12" s="44" t="n">
        <x:v>795.8479819277107</x:v>
      </x:c>
      <x:c r="H12" s="44" t="n">
        <x:v>-497.4514751429964</x:v>
      </x:c>
      <x:c r="I12" s="47" t="n">
        <x:v>-0.3846375040392519</x:v>
      </x:c>
      <x:c r="J12" s="48" t="n">
        <x:v>9.018335492012724</x:v>
      </x:c>
      <x:c r="K12" s="49" t="n">
        <x:v>2.198406529952134e-15</x:v>
      </x:c>
      <x:c r="L12" s="48" t="n">
        <x:v>-1.4991407884818528</x:v>
      </x:c>
      <x:c r="M12" s="39" t="str">
        <x:v>large</x:v>
      </x:c>
      <x:c r="N12" s="46" t="b">
        <x:v>1</x:v>
      </x:c>
      <x:c r="O12" s="49" t="n">
        <x:v>0.002380952380952381</x:v>
      </x:c>
      <x:c r="P12" s="49" t="n">
        <x:v>4.616653712899481e-14</x:v>
      </x:c>
      <x:c r="Q12" s="46" t="b">
        <x:v>1</x:v>
      </x:c>
      <x:c r="R12" s="49" t="n">
        <x:v>5.7708171411243515e-15</x:v>
      </x:c>
      <x:c r="S12" s="46" t="b">
        <x:v>1</x:v>
      </x:c>
    </x:row>
    <x:row r="13" ht="15" hidden="0" customHeight="1">
      <x:c r="A13" s="39" t="str">
        <x:v>daily_cpa</x:v>
      </x:c>
      <x:c r="B13" s="39" t="str">
        <x:v>Outbound Sales</x:v>
      </x:c>
      <x:c r="C13" s="39" t="str">
        <x:v>Paid Search</x:v>
      </x:c>
      <x:c r="D13" s="39" t="n">
        <x:v>72</x:v>
      </x:c>
      <x:c r="E13" s="39" t="n">
        <x:v>90</x:v>
      </x:c>
      <x:c r="F13" s="44" t="n">
        <x:v>1171.1949537037037</x:v>
      </x:c>
      <x:c r="G13" s="44" t="n">
        <x:v>1110.1713462962962</x:v>
      </x:c>
      <x:c r="H13" s="44" t="n">
        <x:v>-61.02360740740755</x:v>
      </x:c>
      <x:c r="I13" s="47" t="n">
        <x:v>-0.05210371442809827</x:v>
      </x:c>
      <x:c r="J13" s="48" t="n">
        <x:v>0.9515999467188823</x:v>
      </x:c>
      <x:c r="K13" s="49" t="n">
        <x:v>0.34275961863277354</x:v>
      </x:c>
      <x:c r="L13" s="48" t="n">
        <x:v>-0.14967261434946863</x:v>
      </x:c>
      <x:c r="M13" s="39" t="str">
        <x:v>negligible</x:v>
      </x:c>
      <x:c r="N13" s="46" t="b">
        <x:v>0</x:v>
      </x:c>
      <x:c r="O13" s="49" t="n">
        <x:v>0.002380952380952381</x:v>
      </x:c>
      <x:c r="P13" s="49" t="n">
        <x:v>1</x:v>
      </x:c>
      <x:c r="Q13" s="46" t="b">
        <x:v>0</x:v>
      </x:c>
      <x:c r="R13" s="49" t="n">
        <x:v>0.35989759956441225</x:v>
      </x:c>
      <x:c r="S13" s="46" t="b">
        <x:v>0</x:v>
      </x:c>
    </x:row>
    <x:row r="14" ht="15" hidden="0" customHeight="1">
      <x:c r="A14" s="39" t="str">
        <x:v>daily_cpa</x:v>
      </x:c>
      <x:c r="B14" s="39" t="str">
        <x:v>Outbound Sales</x:v>
      </x:c>
      <x:c r="C14" s="39" t="str">
        <x:v>Partnerships</x:v>
      </x:c>
      <x:c r="D14" s="39" t="n">
        <x:v>72</x:v>
      </x:c>
      <x:c r="E14" s="39" t="n">
        <x:v>69</x:v>
      </x:c>
      <x:c r="F14" s="44" t="n">
        <x:v>1171.1949537037037</x:v>
      </x:c>
      <x:c r="G14" s="44" t="n">
        <x:v>876.054384057971</x:v>
      </x:c>
      <x:c r="H14" s="44" t="n">
        <x:v>-295.14056964573274</x:v>
      </x:c>
      <x:c r="I14" s="47" t="n">
        <x:v>-0.25199952297642775</x:v>
      </x:c>
      <x:c r="J14" s="48" t="n">
        <x:v>5.129707199807505</x:v>
      </x:c>
      <x:c r="K14" s="49" t="n">
        <x:v>0.0000010178773957205492</x:v>
      </x:c>
      <x:c r="L14" s="48" t="n">
        <x:v>-0.861585507408704</x:v>
      </x:c>
      <x:c r="M14" s="39" t="str">
        <x:v>large</x:v>
      </x:c>
      <x:c r="N14" s="46" t="b">
        <x:v>1</x:v>
      </x:c>
      <x:c r="O14" s="49" t="n">
        <x:v>0.002380952380952381</x:v>
      </x:c>
      <x:c r="P14" s="49" t="n">
        <x:v>0.000021375425310131532</x:v>
      </x:c>
      <x:c r="Q14" s="46" t="b">
        <x:v>1</x:v>
      </x:c>
      <x:c r="R14" s="49" t="n">
        <x:v>0.0000015268160935808238</x:v>
      </x:c>
      <x:c r="S14" s="46" t="b">
        <x:v>1</x:v>
      </x:c>
    </x:row>
    <x:row r="15" ht="15" hidden="0" customHeight="1">
      <x:c r="A15" s="39" t="str">
        <x:v>daily_cpa</x:v>
      </x:c>
      <x:c r="B15" s="39" t="str">
        <x:v>Outbound Sales</x:v>
      </x:c>
      <x:c r="C15" s="39" t="str">
        <x:v>Referral</x:v>
      </x:c>
      <x:c r="D15" s="39" t="n">
        <x:v>72</x:v>
      </x:c>
      <x:c r="E15" s="39" t="n">
        <x:v>90</x:v>
      </x:c>
      <x:c r="F15" s="44" t="n">
        <x:v>1171.1949537037037</x:v>
      </x:c>
      <x:c r="G15" s="44" t="n">
        <x:v>83.92513465608467</x:v>
      </x:c>
      <x:c r="H15" s="44" t="n">
        <x:v>-1087.269819047619</x:v>
      </x:c>
      <x:c r="I15" s="47" t="n">
        <x:v>-0.9283423016888129</x:v>
      </x:c>
      <x:c r="J15" s="48" t="n">
        <x:v>23.642769227056526</x:v>
      </x:c>
      <x:c r="K15" s="49" t="n">
        <x:v>7.880915358169478e-36</x:v>
      </x:c>
      <x:c r="L15" s="48" t="n">
        <x:v>-3.9350434254190283</x:v>
      </x:c>
      <x:c r="M15" s="39" t="str">
        <x:v>large</x:v>
      </x:c>
      <x:c r="N15" s="46" t="b">
        <x:v>1</x:v>
      </x:c>
      <x:c r="O15" s="49" t="n">
        <x:v>0.002380952380952381</x:v>
      </x:c>
      <x:c r="P15" s="49" t="n">
        <x:v>1.6549922252155903e-34</x:v>
      </x:c>
      <x:c r="Q15" s="46" t="b">
        <x:v>1</x:v>
      </x:c>
      <x:c r="R15" s="49" t="n">
        <x:v>5.516640750718634e-35</x:v>
      </x:c>
      <x:c r="S15" s="46" t="b">
        <x:v>1</x:v>
      </x:c>
    </x:row>
    <x:row r="16" ht="15" hidden="0" customHeight="1">
      <x:c r="A16" s="39" t="str">
        <x:v>daily_cpa</x:v>
      </x:c>
      <x:c r="B16" s="39" t="str">
        <x:v>Outbound Sales</x:v>
      </x:c>
      <x:c r="C16" s="39" t="str">
        <x:v>SEO</x:v>
      </x:c>
      <x:c r="D16" s="39" t="n">
        <x:v>72</x:v>
      </x:c>
      <x:c r="E16" s="39" t="n">
        <x:v>83</x:v>
      </x:c>
      <x:c r="F16" s="44" t="n">
        <x:v>1171.1949537037037</x:v>
      </x:c>
      <x:c r="G16" s="44" t="n">
        <x:v>795.8479819277107</x:v>
      </x:c>
      <x:c r="H16" s="44" t="n">
        <x:v>-375.346971775993</x:v>
      </x:c>
      <x:c r="I16" s="47" t="n">
        <x:v>-0.3204820603000571</x:v>
      </x:c>
      <x:c r="J16" s="48" t="n">
        <x:v>6.601518336905856</x:v>
      </x:c>
      <x:c r="K16" s="49" t="n">
        <x:v>8.568181999836222e-10</x:v>
      </x:c>
      <x:c r="L16" s="48" t="n">
        <x:v>-1.0717308576089135</x:v>
      </x:c>
      <x:c r="M16" s="39" t="str">
        <x:v>large</x:v>
      </x:c>
      <x:c r="N16" s="46" t="b">
        <x:v>1</x:v>
      </x:c>
      <x:c r="O16" s="49" t="n">
        <x:v>0.002380952380952381</x:v>
      </x:c>
      <x:c r="P16" s="49" t="n">
        <x:v>1.7993182199656068e-8</x:v>
      </x:c>
      <x:c r="Q16" s="46" t="b">
        <x:v>1</x:v>
      </x:c>
      <x:c r="R16" s="49" t="n">
        <x:v>1.6357438363323698e-9</x:v>
      </x:c>
      <x:c r="S16" s="46" t="b">
        <x:v>1</x:v>
      </x:c>
    </x:row>
    <x:row r="17" ht="15" hidden="0" customHeight="1">
      <x:c r="A17" s="39" t="str">
        <x:v>daily_cpa</x:v>
      </x:c>
      <x:c r="B17" s="39" t="str">
        <x:v>Paid Search</x:v>
      </x:c>
      <x:c r="C17" s="39" t="str">
        <x:v>Partnerships</x:v>
      </x:c>
      <x:c r="D17" s="39" t="n">
        <x:v>90</x:v>
      </x:c>
      <x:c r="E17" s="39" t="n">
        <x:v>69</x:v>
      </x:c>
      <x:c r="F17" s="44" t="n">
        <x:v>1110.1713462962962</x:v>
      </x:c>
      <x:c r="G17" s="44" t="n">
        <x:v>876.054384057971</x:v>
      </x:c>
      <x:c r="H17" s="44" t="n">
        <x:v>-234.1169622383252</x:v>
      </x:c>
      <x:c r="I17" s="47" t="n">
        <x:v>-0.2108836289275306</x:v>
      </x:c>
      <x:c r="J17" s="48" t="n">
        <x:v>4.113270446985295</x:v>
      </x:c>
      <x:c r="K17" s="49" t="n">
        <x:v>0.00006313445555684027</x:v>
      </x:c>
      <x:c r="L17" s="48" t="n">
        <x:v>-0.6419961966984771</x:v>
      </x:c>
      <x:c r="M17" s="39" t="str">
        <x:v>medium</x:v>
      </x:c>
      <x:c r="N17" s="46" t="b">
        <x:v>1</x:v>
      </x:c>
      <x:c r="O17" s="49" t="n">
        <x:v>0.002380952380952381</x:v>
      </x:c>
      <x:c r="P17" s="49" t="n">
        <x:v>0.0013258235666936456</x:v>
      </x:c>
      <x:c r="Q17" s="46" t="b">
        <x:v>1</x:v>
      </x:c>
      <x:c r="R17" s="49" t="n">
        <x:v>0.00008838823777957636</x:v>
      </x:c>
      <x:c r="S17" s="46" t="b">
        <x:v>1</x:v>
      </x:c>
    </x:row>
    <x:row r="18" ht="15" hidden="0" customHeight="1">
      <x:c r="A18" s="39" t="str">
        <x:v>daily_cpa</x:v>
      </x:c>
      <x:c r="B18" s="39" t="str">
        <x:v>Paid Search</x:v>
      </x:c>
      <x:c r="C18" s="39" t="str">
        <x:v>Referral</x:v>
      </x:c>
      <x:c r="D18" s="39" t="n">
        <x:v>90</x:v>
      </x:c>
      <x:c r="E18" s="39" t="n">
        <x:v>90</x:v>
      </x:c>
      <x:c r="F18" s="44" t="n">
        <x:v>1110.1713462962962</x:v>
      </x:c>
      <x:c r="G18" s="44" t="n">
        <x:v>83.92513465608467</x:v>
      </x:c>
      <x:c r="H18" s="44" t="n">
        <x:v>-1026.2462116402114</x:v>
      </x:c>
      <x:c r="I18" s="47" t="n">
        <x:v>-0.9244034401211381</x:v>
      </x:c>
      <x:c r="J18" s="48" t="n">
        <x:v>22.698671495067135</x:v>
      </x:c>
      <x:c r="K18" s="49" t="n">
        <x:v>2.950847339507568e-39</x:v>
      </x:c>
      <x:c r="L18" s="48" t="n">
        <x:v>-3.3837181641271266</x:v>
      </x:c>
      <x:c r="M18" s="39" t="str">
        <x:v>large</x:v>
      </x:c>
      <x:c r="N18" s="46" t="b">
        <x:v>1</x:v>
      </x:c>
      <x:c r="O18" s="49" t="n">
        <x:v>0.002380952380952381</x:v>
      </x:c>
      <x:c r="P18" s="49" t="n">
        <x:v>6.196779412965894e-38</x:v>
      </x:c>
      <x:c r="Q18" s="46" t="b">
        <x:v>1</x:v>
      </x:c>
      <x:c r="R18" s="49" t="n">
        <x:v>6.196779412965894e-38</x:v>
      </x:c>
      <x:c r="S18" s="46" t="b">
        <x:v>1</x:v>
      </x:c>
    </x:row>
    <x:row r="19" ht="15" hidden="0" customHeight="1">
      <x:c r="A19" s="39" t="str">
        <x:v>daily_cpa</x:v>
      </x:c>
      <x:c r="B19" s="39" t="str">
        <x:v>Paid Search</x:v>
      </x:c>
      <x:c r="C19" s="39" t="str">
        <x:v>SEO</x:v>
      </x:c>
      <x:c r="D19" s="39" t="n">
        <x:v>90</x:v>
      </x:c>
      <x:c r="E19" s="39" t="n">
        <x:v>83</x:v>
      </x:c>
      <x:c r="F19" s="44" t="n">
        <x:v>1110.1713462962962</x:v>
      </x:c>
      <x:c r="G19" s="44" t="n">
        <x:v>795.8479819277107</x:v>
      </x:c>
      <x:c r="H19" s="44" t="n">
        <x:v>-314.32336436858543</x:v>
      </x:c>
      <x:c r="I19" s="47" t="n">
        <x:v>-0.28313049640239496</x:v>
      </x:c>
      <x:c r="J19" s="48" t="n">
        <x:v>5.589745978612578</x:v>
      </x:c>
      <x:c r="K19" s="49" t="n">
        <x:v>9.455868489740184e-8</x:v>
      </x:c>
      <x:c r="L19" s="48" t="n">
        <x:v>-0.8452180351726608</x:v>
      </x:c>
      <x:c r="M19" s="39" t="str">
        <x:v>large</x:v>
      </x:c>
      <x:c r="N19" s="46" t="b">
        <x:v>1</x:v>
      </x:c>
      <x:c r="O19" s="49" t="n">
        <x:v>0.002380952380952381</x:v>
      </x:c>
      <x:c r="P19" s="49" t="n">
        <x:v>0.0000019857323828454387</x:v>
      </x:c>
      <x:c r="Q19" s="46" t="b">
        <x:v>1</x:v>
      </x:c>
      <x:c r="R19" s="49" t="n">
        <x:v>1.527486448342645e-7</x:v>
      </x:c>
      <x:c r="S19" s="46" t="b">
        <x:v>1</x:v>
      </x:c>
    </x:row>
    <x:row r="20" ht="15" hidden="0" customHeight="1">
      <x:c r="A20" s="39" t="str">
        <x:v>daily_cpa</x:v>
      </x:c>
      <x:c r="B20" s="39" t="str">
        <x:v>Partnerships</x:v>
      </x:c>
      <x:c r="C20" s="39" t="str">
        <x:v>Referral</x:v>
      </x:c>
      <x:c r="D20" s="39" t="n">
        <x:v>69</x:v>
      </x:c>
      <x:c r="E20" s="39" t="n">
        <x:v>90</x:v>
      </x:c>
      <x:c r="F20" s="44" t="n">
        <x:v>876.054384057971</x:v>
      </x:c>
      <x:c r="G20" s="44" t="n">
        <x:v>83.92513465608467</x:v>
      </x:c>
      <x:c r="H20" s="44" t="n">
        <x:v>-792.1292494018863</x:v>
      </x:c>
      <x:c r="I20" s="47" t="n">
        <x:v>-0.9042009991807414</x:v>
      </x:c>
      <x:c r="J20" s="48" t="n">
        <x:v>22.47574750228463</x:v>
      </x:c>
      <x:c r="K20" s="49" t="n">
        <x:v>6.732649631636015e-34</x:v>
      </x:c>
      <x:c r="L20" s="48" t="n">
        <x:v>-3.8156438197043427</x:v>
      </x:c>
      <x:c r="M20" s="39" t="str">
        <x:v>large</x:v>
      </x:c>
      <x:c r="N20" s="46" t="b">
        <x:v>1</x:v>
      </x:c>
      <x:c r="O20" s="49" t="n">
        <x:v>0.002380952380952381</x:v>
      </x:c>
      <x:c r="P20" s="49" t="n">
        <x:v>1.4138564226435633e-32</x:v>
      </x:c>
      <x:c r="Q20" s="46" t="b">
        <x:v>1</x:v>
      </x:c>
      <x:c r="R20" s="49" t="n">
        <x:v>2.8277128452871265e-33</x:v>
      </x:c>
      <x:c r="S20" s="46" t="b">
        <x:v>1</x:v>
      </x:c>
    </x:row>
    <x:row r="21" ht="15" hidden="0" customHeight="1">
      <x:c r="A21" s="39" t="str">
        <x:v>daily_cpa</x:v>
      </x:c>
      <x:c r="B21" s="39" t="str">
        <x:v>Partnerships</x:v>
      </x:c>
      <x:c r="C21" s="39" t="str">
        <x:v>SEO</x:v>
      </x:c>
      <x:c r="D21" s="39" t="n">
        <x:v>69</x:v>
      </x:c>
      <x:c r="E21" s="39" t="n">
        <x:v>83</x:v>
      </x:c>
      <x:c r="F21" s="44" t="n">
        <x:v>876.054384057971</x:v>
      </x:c>
      <x:c r="G21" s="44" t="n">
        <x:v>795.8479819277107</x:v>
      </x:c>
      <x:c r="H21" s="44" t="n">
        <x:v>-80.20640213026024</x:v>
      </x:c>
      <x:c r="I21" s="47" t="n">
        <x:v>-0.09155413589592032</x:v>
      </x:c>
      <x:c r="J21" s="48" t="n">
        <x:v>1.6509969608411743</x:v>
      </x:c>
      <x:c r="K21" s="49" t="n">
        <x:v>0.10086492947105609</x:v>
      </x:c>
      <x:c r="L21" s="48" t="n">
        <x:v>-0.2682332613943278</x:v>
      </x:c>
      <x:c r="M21" s="39" t="str">
        <x:v>small</x:v>
      </x:c>
      <x:c r="N21" s="46" t="b">
        <x:v>0</x:v>
      </x:c>
      <x:c r="O21" s="49" t="n">
        <x:v>0.002380952380952381</x:v>
      </x:c>
      <x:c r="P21" s="49" t="n">
        <x:v>1</x:v>
      </x:c>
      <x:c r="Q21" s="46" t="b">
        <x:v>0</x:v>
      </x:c>
      <x:c r="R21" s="49" t="n">
        <x:v>0.11148229046800938</x:v>
      </x:c>
      <x:c r="S21" s="46" t="b">
        <x:v>0</x:v>
      </x:c>
    </x:row>
    <x:row r="22" ht="15" hidden="0" customHeight="1">
      <x:c r="A22" s="39" t="str">
        <x:v>daily_cpa</x:v>
      </x:c>
      <x:c r="B22" s="39" t="str">
        <x:v>Referral</x:v>
      </x:c>
      <x:c r="C22" s="39" t="str">
        <x:v>SEO</x:v>
      </x:c>
      <x:c r="D22" s="39" t="n">
        <x:v>90</x:v>
      </x:c>
      <x:c r="E22" s="39" t="n">
        <x:v>83</x:v>
      </x:c>
      <x:c r="F22" s="44" t="n">
        <x:v>83.92513465608467</x:v>
      </x:c>
      <x:c r="G22" s="44" t="n">
        <x:v>795.8479819277107</x:v>
      </x:c>
      <x:c r="H22" s="44" t="n">
        <x:v>711.9228472716261</x:v>
      </x:c>
      <x:c r="I22" s="47" t="n">
        <x:v>8.482832350391837</x:v>
      </x:c>
      <x:c r="J22" s="48" t="n">
        <x:v>-20.86167423854166</x:v>
      </x:c>
      <x:c r="K22" s="49" t="n">
        <x:v>2.8937299931565705e-35</x:v>
      </x:c>
      <x:c r="L22" s="48" t="n">
        <x:v>3.235629880706123</x:v>
      </x:c>
      <x:c r="M22" s="39" t="str">
        <x:v>large</x:v>
      </x:c>
      <x:c r="N22" s="46" t="b">
        <x:v>1</x:v>
      </x:c>
      <x:c r="O22" s="49" t="n">
        <x:v>0.002380952380952381</x:v>
      </x:c>
      <x:c r="P22" s="49" t="n">
        <x:v>6.076832985628798e-34</x:v>
      </x:c>
      <x:c r="Q22" s="46" t="b">
        <x:v>1</x:v>
      </x:c>
      <x:c r="R22" s="49" t="n">
        <x:v>1.5192082464071995e-34</x:v>
      </x:c>
      <x:c r="S22" s="4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ec9553dbb5a4b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5" hidden="0" customWidth="1"/>
    <x:col min="13" max="13" width="15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</x:cols>
  <x:sheetData>
    <x:row r="1" ht="48" hidden="0" customHeight="1">
      <x:c r="A1" s="12" t="str">
        <x:v>metric</x:v>
      </x:c>
      <x:c r="B1" s="12" t="str">
        <x:v>channel_a</x:v>
      </x:c>
      <x:c r="C1" s="12" t="str">
        <x:v>channel_b</x:v>
      </x:c>
      <x:c r="D1" s="12" t="str">
        <x:v>conversions_a</x:v>
      </x:c>
      <x:c r="E1" s="12" t="str">
        <x:v>clicks_a</x:v>
      </x:c>
      <x:c r="F1" s="12" t="str">
        <x:v>conversions_b</x:v>
      </x:c>
      <x:c r="G1" s="12" t="str">
        <x:v>clicks_b</x:v>
      </x:c>
      <x:c r="H1" s="12" t="str">
        <x:v>rate_a</x:v>
      </x:c>
      <x:c r="I1" s="12" t="str">
        <x:v>rate_b</x:v>
      </x:c>
      <x:c r="J1" s="12" t="str">
        <x:v>difference_b_minus_a</x:v>
      </x:c>
      <x:c r="K1" s="12" t="str">
        <x:v>percent_difference_vs_a</x:v>
      </x:c>
      <x:c r="L1" s="12" t="str">
        <x:v>odds_ratio</x:v>
      </x:c>
      <x:c r="M1" s="12" t="str">
        <x:v>p_value</x:v>
      </x:c>
      <x:c r="N1" s="12" t="str">
        <x:v>significant_uncorrected</x:v>
      </x:c>
      <x:c r="O1" s="12" t="str">
        <x:v>bonferroni_alpha</x:v>
      </x:c>
      <x:c r="P1" s="12" t="str">
        <x:v>p_value_bonferroni</x:v>
      </x:c>
      <x:c r="Q1" s="12" t="str">
        <x:v>significant_bonferroni</x:v>
      </x:c>
      <x:c r="R1" s="12" t="str">
        <x:v>p_value_fdr</x:v>
      </x:c>
      <x:c r="S1" s="12" t="str">
        <x:v>significant_fdr</x:v>
      </x:c>
    </x:row>
    <x:row r="2" ht="15" hidden="0" customHeight="1">
      <x:c r="A2" s="39" t="str">
        <x:v>conversion_rate</x:v>
      </x:c>
      <x:c r="B2" s="39" t="str">
        <x:v>Content</x:v>
      </x:c>
      <x:c r="C2" s="39" t="str">
        <x:v>LinkedIn Ads</x:v>
      </x:c>
      <x:c r="D2" s="39" t="n">
        <x:v>112</x:v>
      </x:c>
      <x:c r="E2" s="39" t="n">
        <x:v>9622</x:v>
      </x:c>
      <x:c r="F2" s="39" t="n">
        <x:v>91</x:v>
      </x:c>
      <x:c r="G2" s="39" t="n">
        <x:v>10682</x:v>
      </x:c>
      <x:c r="H2" s="41" t="n">
        <x:v>0.011639991685720224</x:v>
      </x:c>
      <x:c r="I2" s="41" t="n">
        <x:v>0.00851900393184797</x:v>
      </x:c>
      <x:c r="J2" s="41" t="n">
        <x:v>-0.003120987753872255</x:v>
      </x:c>
      <x:c r="K2" s="41" t="n">
        <x:v>-0.2681262872121325</x:v>
      </x:c>
      <x:c r="L2" s="48" t="n">
        <x:v>1.370670549219445</x:v>
      </x:c>
      <x:c r="M2" s="49" t="n">
        <x:v>0.02837435098761911</x:v>
      </x:c>
      <x:c r="N2" s="46" t="b">
        <x:v>1</x:v>
      </x:c>
      <x:c r="O2" s="49" t="n">
        <x:v>0.002380952380952381</x:v>
      </x:c>
      <x:c r="P2" s="49" t="n">
        <x:v>0.5958613707400013</x:v>
      </x:c>
      <x:c r="Q2" s="46" t="b">
        <x:v>0</x:v>
      </x:c>
      <x:c r="R2" s="49" t="n">
        <x:v>0.04256152648142866</x:v>
      </x:c>
      <x:c r="S2" s="46" t="b">
        <x:v>1</x:v>
      </x:c>
    </x:row>
    <x:row r="3" ht="15" hidden="0" customHeight="1">
      <x:c r="A3" s="39" t="str">
        <x:v>conversion_rate</x:v>
      </x:c>
      <x:c r="B3" s="39" t="str">
        <x:v>Content</x:v>
      </x:c>
      <x:c r="C3" s="39" t="str">
        <x:v>Outbound Sales</x:v>
      </x:c>
      <x:c r="D3" s="39" t="n">
        <x:v>112</x:v>
      </x:c>
      <x:c r="E3" s="39" t="n">
        <x:v>9622</x:v>
      </x:c>
      <x:c r="F3" s="39" t="n">
        <x:v>103</x:v>
      </x:c>
      <x:c r="G3" s="39" t="n">
        <x:v>13943</x:v>
      </x:c>
      <x:c r="H3" s="41" t="n">
        <x:v>0.011639991685720224</x:v>
      </x:c>
      <x:c r="I3" s="41" t="n">
        <x:v>0.007387219393243921</x:v>
      </x:c>
      <x:c r="J3" s="41" t="n">
        <x:v>-0.004252772292476303</x:v>
      </x:c>
      <x:c r="K3" s="41" t="n">
        <x:v>-0.3653587053411338</x:v>
      </x:c>
      <x:c r="L3" s="48" t="n">
        <x:v>1.5824732269557849</x:v>
      </x:c>
      <x:c r="M3" s="49" t="n">
        <x:v>0.0010072778366969149</x:v>
      </x:c>
      <x:c r="N3" s="46" t="b">
        <x:v>1</x:v>
      </x:c>
      <x:c r="O3" s="49" t="n">
        <x:v>0.002380952380952381</x:v>
      </x:c>
      <x:c r="P3" s="49" t="n">
        <x:v>0.02115283457063521</x:v>
      </x:c>
      <x:c r="Q3" s="46" t="b">
        <x:v>1</x:v>
      </x:c>
      <x:c r="R3" s="49" t="n">
        <x:v>0.0016271411208180933</x:v>
      </x:c>
      <x:c r="S3" s="46" t="b">
        <x:v>1</x:v>
      </x:c>
    </x:row>
    <x:row r="4" ht="15" hidden="0" customHeight="1">
      <x:c r="A4" s="39" t="str">
        <x:v>conversion_rate</x:v>
      </x:c>
      <x:c r="B4" s="39" t="str">
        <x:v>Content</x:v>
      </x:c>
      <x:c r="C4" s="39" t="str">
        <x:v>Paid Search</x:v>
      </x:c>
      <x:c r="D4" s="39" t="n">
        <x:v>112</x:v>
      </x:c>
      <x:c r="E4" s="39" t="n">
        <x:v>9622</x:v>
      </x:c>
      <x:c r="F4" s="39" t="n">
        <x:v>238</x:v>
      </x:c>
      <x:c r="G4" s="39" t="n">
        <x:v>17458</x:v>
      </x:c>
      <x:c r="H4" s="41" t="n">
        <x:v>0.011639991685720224</x:v>
      </x:c>
      <x:c r="I4" s="41" t="n">
        <x:v>0.0136327185244587</x:v>
      </x:c>
      <x:c r="J4" s="41" t="n">
        <x:v>0.0019927268387384765</x:v>
      </x:c>
      <x:c r="K4" s="41" t="n">
        <x:v>0.1711965860923359</x:v>
      </x:c>
      <x:c r="L4" s="48" t="n">
        <x:v>0.8521061421413991</x:v>
      </x:c>
      <x:c r="M4" s="49" t="n">
        <x:v>0.1773317878777428</x:v>
      </x:c>
      <x:c r="N4" s="46" t="b">
        <x:v>0</x:v>
      </x:c>
      <x:c r="O4" s="49" t="n">
        <x:v>0.002380952380952381</x:v>
      </x:c>
      <x:c r="P4" s="49" t="n">
        <x:v>1</x:v>
      </x:c>
      <x:c r="Q4" s="46" t="b">
        <x:v>0</x:v>
      </x:c>
      <x:c r="R4" s="49" t="n">
        <x:v>0.21905691443721173</x:v>
      </x:c>
      <x:c r="S4" s="46" t="b">
        <x:v>0</x:v>
      </x:c>
    </x:row>
    <x:row r="5" ht="15" hidden="0" customHeight="1">
      <x:c r="A5" s="39" t="str">
        <x:v>conversion_rate</x:v>
      </x:c>
      <x:c r="B5" s="39" t="str">
        <x:v>Content</x:v>
      </x:c>
      <x:c r="C5" s="39" t="str">
        <x:v>Partnerships</x:v>
      </x:c>
      <x:c r="D5" s="39" t="n">
        <x:v>112</x:v>
      </x:c>
      <x:c r="E5" s="39" t="n">
        <x:v>9622</x:v>
      </x:c>
      <x:c r="F5" s="39" t="n">
        <x:v>102</x:v>
      </x:c>
      <x:c r="G5" s="39" t="n">
        <x:v>11506</x:v>
      </x:c>
      <x:c r="H5" s="41" t="n">
        <x:v>0.011639991685720224</x:v>
      </x:c>
      <x:c r="I5" s="41" t="n">
        <x:v>0.008864940031288024</x:v>
      </x:c>
      <x:c r="J5" s="41" t="n">
        <x:v>-0.0027750516544322</x:v>
      </x:c>
      <x:c r="K5" s="41" t="n">
        <x:v>-0.23840666981202346</x:v>
      </x:c>
      <x:c r="L5" s="48" t="n">
        <x:v>1.3167233665285252</x:v>
      </x:c>
      <x:c r="M5" s="49" t="n">
        <x:v>0.04565701075000393</x:v>
      </x:c>
      <x:c r="N5" s="46" t="b">
        <x:v>1</x:v>
      </x:c>
      <x:c r="O5" s="49" t="n">
        <x:v>0.002380952380952381</x:v>
      </x:c>
      <x:c r="P5" s="49" t="n">
        <x:v>0.9587972257500825</x:v>
      </x:c>
      <x:c r="Q5" s="46" t="b">
        <x:v>0</x:v>
      </x:c>
      <x:c r="R5" s="49" t="n">
        <x:v>0.05992482660938016</x:v>
      </x:c>
      <x:c r="S5" s="46" t="b">
        <x:v>0</x:v>
      </x:c>
    </x:row>
    <x:row r="6" ht="15" hidden="0" customHeight="1">
      <x:c r="A6" s="39" t="str">
        <x:v>conversion_rate</x:v>
      </x:c>
      <x:c r="B6" s="39" t="str">
        <x:v>Content</x:v>
      </x:c>
      <x:c r="C6" s="39" t="str">
        <x:v>Referral</x:v>
      </x:c>
      <x:c r="D6" s="39" t="n">
        <x:v>112</x:v>
      </x:c>
      <x:c r="E6" s="39" t="n">
        <x:v>9622</x:v>
      </x:c>
      <x:c r="F6" s="39" t="n">
        <x:v>589</x:v>
      </x:c>
      <x:c r="G6" s="39" t="n">
        <x:v>21586</x:v>
      </x:c>
      <x:c r="H6" s="41" t="n">
        <x:v>0.011639991685720224</x:v>
      </x:c>
      <x:c r="I6" s="41" t="n">
        <x:v>0.027286204021124805</x:v>
      </x:c>
      <x:c r="J6" s="41" t="n">
        <x:v>0.01564621233540458</x:v>
      </x:c>
      <x:c r="K6" s="41" t="n">
        <x:v>1.3441772776005612</x:v>
      </x:c>
      <x:c r="L6" s="48" t="n">
        <x:v>0.41983579075907945</x:v>
      </x:c>
      <x:c r="M6" s="49" t="n">
        <x:v>8.236988410581015e-20</x:v>
      </x:c>
      <x:c r="N6" s="46" t="b">
        <x:v>1</x:v>
      </x:c>
      <x:c r="O6" s="49" t="n">
        <x:v>0.002380952380952381</x:v>
      </x:c>
      <x:c r="P6" s="49" t="n">
        <x:v>1.729767566222013e-18</x:v>
      </x:c>
      <x:c r="Q6" s="46" t="b">
        <x:v>1</x:v>
      </x:c>
      <x:c r="R6" s="49" t="n">
        <x:v>3.4595351324440265e-19</x:v>
      </x:c>
      <x:c r="S6" s="46" t="b">
        <x:v>1</x:v>
      </x:c>
    </x:row>
    <x:row r="7" ht="15" hidden="0" customHeight="1">
      <x:c r="A7" s="39" t="str">
        <x:v>conversion_rate</x:v>
      </x:c>
      <x:c r="B7" s="39" t="str">
        <x:v>Content</x:v>
      </x:c>
      <x:c r="C7" s="39" t="str">
        <x:v>SEO</x:v>
      </x:c>
      <x:c r="D7" s="39" t="n">
        <x:v>112</x:v>
      </x:c>
      <x:c r="E7" s="39" t="n">
        <x:v>9622</x:v>
      </x:c>
      <x:c r="F7" s="39" t="n">
        <x:v>160</x:v>
      </x:c>
      <x:c r="G7" s="39" t="n">
        <x:v>10559</x:v>
      </x:c>
      <x:c r="H7" s="41" t="n">
        <x:v>0.011639991685720224</x:v>
      </x:c>
      <x:c r="I7" s="41" t="n">
        <x:v>0.01515295008997064</x:v>
      </x:c>
      <x:c r="J7" s="41" t="n">
        <x:v>0.003512958404250416</x:v>
      </x:c>
      <x:c r="K7" s="41" t="n">
        <x:v>0.3018007657651563</x:v>
      </x:c>
      <x:c r="L7" s="48" t="n">
        <x:v>0.7654363827549947</x:v>
      </x:c>
      <x:c r="M7" s="49" t="n">
        <x:v>0.03237319559095275</x:v>
      </x:c>
      <x:c r="N7" s="46" t="b">
        <x:v>1</x:v>
      </x:c>
      <x:c r="O7" s="49" t="n">
        <x:v>0.002380952380952381</x:v>
      </x:c>
      <x:c r="P7" s="49" t="n">
        <x:v>0.6798371074100078</x:v>
      </x:c>
      <x:c r="Q7" s="46" t="b">
        <x:v>0</x:v>
      </x:c>
      <x:c r="R7" s="49" t="n">
        <x:v>0.04532247382733385</x:v>
      </x:c>
      <x:c r="S7" s="46" t="b">
        <x:v>1</x:v>
      </x:c>
    </x:row>
    <x:row r="8" ht="15" hidden="0" customHeight="1">
      <x:c r="A8" s="39" t="str">
        <x:v>conversion_rate</x:v>
      </x:c>
      <x:c r="B8" s="39" t="str">
        <x:v>LinkedIn Ads</x:v>
      </x:c>
      <x:c r="C8" s="39" t="str">
        <x:v>Outbound Sales</x:v>
      </x:c>
      <x:c r="D8" s="39" t="n">
        <x:v>91</x:v>
      </x:c>
      <x:c r="E8" s="39" t="n">
        <x:v>10682</x:v>
      </x:c>
      <x:c r="F8" s="39" t="n">
        <x:v>103</x:v>
      </x:c>
      <x:c r="G8" s="39" t="n">
        <x:v>13943</x:v>
      </x:c>
      <x:c r="H8" s="41" t="n">
        <x:v>0.00851900393184797</x:v>
      </x:c>
      <x:c r="I8" s="41" t="n">
        <x:v>0.007387219393243921</x:v>
      </x:c>
      <x:c r="J8" s="41" t="n">
        <x:v>-0.001131784538604048</x:v>
      </x:c>
      <x:c r="K8" s="41" t="n">
        <x:v>-0.13285409276229054</x:v>
      </x:c>
      <x:c r="L8" s="48" t="n">
        <x:v>1.1545248621975244</x:v>
      </x:c>
      <x:c r="M8" s="49" t="n">
        <x:v>0.34453669657218977</x:v>
      </x:c>
      <x:c r="N8" s="46" t="b">
        <x:v>0</x:v>
      </x:c>
      <x:c r="O8" s="49" t="n">
        <x:v>0.002380952380952381</x:v>
      </x:c>
      <x:c r="P8" s="49" t="n">
        <x:v>1</x:v>
      </x:c>
      <x:c r="Q8" s="46" t="b">
        <x:v>0</x:v>
      </x:c>
      <x:c r="R8" s="49" t="n">
        <x:v>0.36176353140079925</x:v>
      </x:c>
      <x:c r="S8" s="46" t="b">
        <x:v>0</x:v>
      </x:c>
    </x:row>
    <x:row r="9" ht="15" hidden="0" customHeight="1">
      <x:c r="A9" s="39" t="str">
        <x:v>conversion_rate</x:v>
      </x:c>
      <x:c r="B9" s="39" t="str">
        <x:v>LinkedIn Ads</x:v>
      </x:c>
      <x:c r="C9" s="39" t="str">
        <x:v>Paid Search</x:v>
      </x:c>
      <x:c r="D9" s="39" t="n">
        <x:v>91</x:v>
      </x:c>
      <x:c r="E9" s="39" t="n">
        <x:v>10682</x:v>
      </x:c>
      <x:c r="F9" s="39" t="n">
        <x:v>238</x:v>
      </x:c>
      <x:c r="G9" s="39" t="n">
        <x:v>17458</x:v>
      </x:c>
      <x:c r="H9" s="41" t="n">
        <x:v>0.00851900393184797</x:v>
      </x:c>
      <x:c r="I9" s="41" t="n">
        <x:v>0.0136327185244587</x:v>
      </x:c>
      <x:c r="J9" s="41" t="n">
        <x:v>0.005113714592610731</x:v>
      </x:c>
      <x:c r="K9" s="41" t="n">
        <x:v>0.6002714206403058</x:v>
      </x:c>
      <x:c r="L9" s="48" t="n">
        <x:v>0.6216710081256561</x:v>
      </x:c>
      <x:c r="M9" s="49" t="n">
        <x:v>0.00009633689121867691</x:v>
      </x:c>
      <x:c r="N9" s="46" t="b">
        <x:v>1</x:v>
      </x:c>
      <x:c r="O9" s="49" t="n">
        <x:v>0.002380952380952381</x:v>
      </x:c>
      <x:c r="P9" s="49" t="n">
        <x:v>0.002023074715592215</x:v>
      </x:c>
      <x:c r="Q9" s="46" t="b">
        <x:v>1</x:v>
      </x:c>
      <x:c r="R9" s="49" t="n">
        <x:v>0.00018391588323565594</x:v>
      </x:c>
      <x:c r="S9" s="46" t="b">
        <x:v>1</x:v>
      </x:c>
    </x:row>
    <x:row r="10" ht="15" hidden="0" customHeight="1">
      <x:c r="A10" s="39" t="str">
        <x:v>conversion_rate</x:v>
      </x:c>
      <x:c r="B10" s="39" t="str">
        <x:v>LinkedIn Ads</x:v>
      </x:c>
      <x:c r="C10" s="39" t="str">
        <x:v>Partnerships</x:v>
      </x:c>
      <x:c r="D10" s="39" t="n">
        <x:v>91</x:v>
      </x:c>
      <x:c r="E10" s="39" t="n">
        <x:v>10682</x:v>
      </x:c>
      <x:c r="F10" s="39" t="n">
        <x:v>102</x:v>
      </x:c>
      <x:c r="G10" s="39" t="n">
        <x:v>11506</x:v>
      </x:c>
      <x:c r="H10" s="41" t="n">
        <x:v>0.00851900393184797</x:v>
      </x:c>
      <x:c r="I10" s="41" t="n">
        <x:v>0.008864940031288024</x:v>
      </x:c>
      <x:c r="J10" s="41" t="n">
        <x:v>0.00034593609944005496</x:v>
      </x:c>
      <x:c r="K10" s="41" t="n">
        <x:v>0.04060757598042491</x:v>
      </x:c>
      <x:c r="L10" s="48" t="n">
        <x:v>0.9606417583556887</x:v>
      </x:c>
      <x:c r="M10" s="49" t="n">
        <x:v>0.8282641270482847</x:v>
      </x:c>
      <x:c r="N10" s="46" t="b">
        <x:v>0</x:v>
      </x:c>
      <x:c r="O10" s="49" t="n">
        <x:v>0.002380952380952381</x:v>
      </x:c>
      <x:c r="P10" s="49" t="n">
        <x:v>1</x:v>
      </x:c>
      <x:c r="Q10" s="46" t="b">
        <x:v>0</x:v>
      </x:c>
      <x:c r="R10" s="49" t="n">
        <x:v>0.8282641270482847</x:v>
      </x:c>
      <x:c r="S10" s="46" t="b">
        <x:v>0</x:v>
      </x:c>
    </x:row>
    <x:row r="11" ht="15" hidden="0" customHeight="1">
      <x:c r="A11" s="39" t="str">
        <x:v>conversion_rate</x:v>
      </x:c>
      <x:c r="B11" s="39" t="str">
        <x:v>LinkedIn Ads</x:v>
      </x:c>
      <x:c r="C11" s="39" t="str">
        <x:v>Referral</x:v>
      </x:c>
      <x:c r="D11" s="39" t="n">
        <x:v>91</x:v>
      </x:c>
      <x:c r="E11" s="39" t="n">
        <x:v>10682</x:v>
      </x:c>
      <x:c r="F11" s="39" t="n">
        <x:v>589</x:v>
      </x:c>
      <x:c r="G11" s="39" t="n">
        <x:v>21586</x:v>
      </x:c>
      <x:c r="H11" s="41" t="n">
        <x:v>0.00851900393184797</x:v>
      </x:c>
      <x:c r="I11" s="41" t="n">
        <x:v>0.027286204021124805</x:v>
      </x:c>
      <x:c r="J11" s="41" t="n">
        <x:v>0.018767200089276834</x:v>
      </x:c>
      <x:c r="K11" s="41" t="n">
        <x:v>2.2029805643258804</x:v>
      </x:c>
      <x:c r="L11" s="48" t="n">
        <x:v>0.3062995633765992</x:v>
      </x:c>
      <x:c r="M11" s="49" t="n">
        <x:v>1.6148885271593572e-32</x:v>
      </x:c>
      <x:c r="N11" s="46" t="b">
        <x:v>1</x:v>
      </x:c>
      <x:c r="O11" s="49" t="n">
        <x:v>0.002380952380952381</x:v>
      </x:c>
      <x:c r="P11" s="49" t="n">
        <x:v>3.39126590703465e-31</x:v>
      </x:c>
      <x:c r="Q11" s="46" t="b">
        <x:v>1</x:v>
      </x:c>
      <x:c r="R11" s="49" t="n">
        <x:v>1.13042196901155e-31</x:v>
      </x:c>
      <x:c r="S11" s="46" t="b">
        <x:v>1</x:v>
      </x:c>
    </x:row>
    <x:row r="12" ht="15" hidden="0" customHeight="1">
      <x:c r="A12" s="39" t="str">
        <x:v>conversion_rate</x:v>
      </x:c>
      <x:c r="B12" s="39" t="str">
        <x:v>LinkedIn Ads</x:v>
      </x:c>
      <x:c r="C12" s="39" t="str">
        <x:v>SEO</x:v>
      </x:c>
      <x:c r="D12" s="39" t="n">
        <x:v>91</x:v>
      </x:c>
      <x:c r="E12" s="39" t="n">
        <x:v>10682</x:v>
      </x:c>
      <x:c r="F12" s="39" t="n">
        <x:v>160</x:v>
      </x:c>
      <x:c r="G12" s="39" t="n">
        <x:v>10559</x:v>
      </x:c>
      <x:c r="H12" s="41" t="n">
        <x:v>0.00851900393184797</x:v>
      </x:c>
      <x:c r="I12" s="41" t="n">
        <x:v>0.01515295008997064</x:v>
      </x:c>
      <x:c r="J12" s="41" t="n">
        <x:v>0.006633946158122671</x:v>
      </x:c>
      <x:c r="K12" s="41" t="n">
        <x:v>0.7787232182534766</x:v>
      </x:c>
      <x:c r="L12" s="48" t="n">
        <x:v>0.5584393588896233</x:v>
      </x:c>
      <x:c r="M12" s="49" t="n">
        <x:v>0.000007841183599499261</x:v>
      </x:c>
      <x:c r="N12" s="46" t="b">
        <x:v>1</x:v>
      </x:c>
      <x:c r="O12" s="49" t="n">
        <x:v>0.002380952380952381</x:v>
      </x:c>
      <x:c r="P12" s="49" t="n">
        <x:v>0.00016466485558948448</x:v>
      </x:c>
      <x:c r="Q12" s="46" t="b">
        <x:v>1</x:v>
      </x:c>
      <x:c r="R12" s="49" t="n">
        <x:v>0.00001829609506549828</x:v>
      </x:c>
      <x:c r="S12" s="46" t="b">
        <x:v>1</x:v>
      </x:c>
    </x:row>
    <x:row r="13" ht="15" hidden="0" customHeight="1">
      <x:c r="A13" s="39" t="str">
        <x:v>conversion_rate</x:v>
      </x:c>
      <x:c r="B13" s="39" t="str">
        <x:v>Outbound Sales</x:v>
      </x:c>
      <x:c r="C13" s="39" t="str">
        <x:v>Paid Search</x:v>
      </x:c>
      <x:c r="D13" s="39" t="n">
        <x:v>103</x:v>
      </x:c>
      <x:c r="E13" s="39" t="n">
        <x:v>13943</x:v>
      </x:c>
      <x:c r="F13" s="39" t="n">
        <x:v>238</x:v>
      </x:c>
      <x:c r="G13" s="39" t="n">
        <x:v>17458</x:v>
      </x:c>
      <x:c r="H13" s="41" t="n">
        <x:v>0.007387219393243921</x:v>
      </x:c>
      <x:c r="I13" s="41" t="n">
        <x:v>0.0136327185244587</x:v>
      </x:c>
      <x:c r="J13" s="41" t="n">
        <x:v>0.006245499131214779</x:v>
      </x:c>
      <x:c r="K13" s="41" t="n">
        <x:v>0.8454465474420162</x:v>
      </x:c>
      <x:c r="L13" s="48" t="n">
        <x:v>0.5384648078884733</x:v>
      </x:c>
      <x:c r="M13" s="49" t="n">
        <x:v>8.761812814403972e-8</x:v>
      </x:c>
      <x:c r="N13" s="46" t="b">
        <x:v>1</x:v>
      </x:c>
      <x:c r="O13" s="49" t="n">
        <x:v>0.002380952380952381</x:v>
      </x:c>
      <x:c r="P13" s="49" t="n">
        <x:v>0.0000018399806910248343</x:v>
      </x:c>
      <x:c r="Q13" s="46" t="b">
        <x:v>1</x:v>
      </x:c>
      <x:c r="R13" s="49" t="n">
        <x:v>2.2999758637810428e-7</x:v>
      </x:c>
      <x:c r="S13" s="46" t="b">
        <x:v>1</x:v>
      </x:c>
    </x:row>
    <x:row r="14" ht="15" hidden="0" customHeight="1">
      <x:c r="A14" s="39" t="str">
        <x:v>conversion_rate</x:v>
      </x:c>
      <x:c r="B14" s="39" t="str">
        <x:v>Outbound Sales</x:v>
      </x:c>
      <x:c r="C14" s="39" t="str">
        <x:v>Partnerships</x:v>
      </x:c>
      <x:c r="D14" s="39" t="n">
        <x:v>103</x:v>
      </x:c>
      <x:c r="E14" s="39" t="n">
        <x:v>13943</x:v>
      </x:c>
      <x:c r="F14" s="39" t="n">
        <x:v>102</x:v>
      </x:c>
      <x:c r="G14" s="39" t="n">
        <x:v>11506</x:v>
      </x:c>
      <x:c r="H14" s="41" t="n">
        <x:v>0.007387219393243921</x:v>
      </x:c>
      <x:c r="I14" s="41" t="n">
        <x:v>0.008864940031288024</x:v>
      </x:c>
      <x:c r="J14" s="41" t="n">
        <x:v>0.0014777206380441029</x:v>
      </x:c>
      <x:c r="K14" s="41" t="n">
        <x:v>0.200037464623776</x:v>
      </x:c>
      <x:c r="L14" s="48" t="n">
        <x:v>0.8320667573387737</x:v>
      </x:c>
      <x:c r="M14" s="49" t="n">
        <x:v>0.20476458126233302</x:v>
      </x:c>
      <x:c r="N14" s="46" t="b">
        <x:v>0</x:v>
      </x:c>
      <x:c r="O14" s="49" t="n">
        <x:v>0.002380952380952381</x:v>
      </x:c>
      <x:c r="P14" s="49" t="n">
        <x:v>1</x:v>
      </x:c>
      <x:c r="Q14" s="46" t="b">
        <x:v>0</x:v>
      </x:c>
      <x:c r="R14" s="49" t="n">
        <x:v>0.23889201147272188</x:v>
      </x:c>
      <x:c r="S14" s="46" t="b">
        <x:v>0</x:v>
      </x:c>
    </x:row>
    <x:row r="15" ht="15" hidden="0" customHeight="1">
      <x:c r="A15" s="39" t="str">
        <x:v>conversion_rate</x:v>
      </x:c>
      <x:c r="B15" s="39" t="str">
        <x:v>Outbound Sales</x:v>
      </x:c>
      <x:c r="C15" s="39" t="str">
        <x:v>Referral</x:v>
      </x:c>
      <x:c r="D15" s="39" t="n">
        <x:v>103</x:v>
      </x:c>
      <x:c r="E15" s="39" t="n">
        <x:v>13943</x:v>
      </x:c>
      <x:c r="F15" s="39" t="n">
        <x:v>589</x:v>
      </x:c>
      <x:c r="G15" s="39" t="n">
        <x:v>21586</x:v>
      </x:c>
      <x:c r="H15" s="41" t="n">
        <x:v>0.007387219393243921</x:v>
      </x:c>
      <x:c r="I15" s="41" t="n">
        <x:v>0.027286204021124805</x:v>
      </x:c>
      <x:c r="J15" s="41" t="n">
        <x:v>0.019898984627880884</x:v>
      </x:c>
      <x:c r="K15" s="41" t="n">
        <x:v>2.693704297733429</x:v>
      </x:c>
      <x:c r="L15" s="48" t="n">
        <x:v>0.2653035663464086</x:v>
      </x:c>
      <x:c r="M15" s="49" t="n">
        <x:v>2.0738183076015712e-45</x:v>
      </x:c>
      <x:c r="N15" s="46" t="b">
        <x:v>1</x:v>
      </x:c>
      <x:c r="O15" s="49" t="n">
        <x:v>0.002380952380952381</x:v>
      </x:c>
      <x:c r="P15" s="49" t="n">
        <x:v>4.3550184459632997e-44</x:v>
      </x:c>
      <x:c r="Q15" s="46" t="b">
        <x:v>1</x:v>
      </x:c>
      <x:c r="R15" s="49" t="n">
        <x:v>4.3550184459632997e-44</x:v>
      </x:c>
      <x:c r="S15" s="46" t="b">
        <x:v>1</x:v>
      </x:c>
    </x:row>
    <x:row r="16" ht="15" hidden="0" customHeight="1">
      <x:c r="A16" s="39" t="str">
        <x:v>conversion_rate</x:v>
      </x:c>
      <x:c r="B16" s="39" t="str">
        <x:v>Outbound Sales</x:v>
      </x:c>
      <x:c r="C16" s="39" t="str">
        <x:v>SEO</x:v>
      </x:c>
      <x:c r="D16" s="39" t="n">
        <x:v>103</x:v>
      </x:c>
      <x:c r="E16" s="39" t="n">
        <x:v>13943</x:v>
      </x:c>
      <x:c r="F16" s="39" t="n">
        <x:v>160</x:v>
      </x:c>
      <x:c r="G16" s="39" t="n">
        <x:v>10559</x:v>
      </x:c>
      <x:c r="H16" s="41" t="n">
        <x:v>0.007387219393243921</x:v>
      </x:c>
      <x:c r="I16" s="41" t="n">
        <x:v>0.01515295008997064</x:v>
      </x:c>
      <x:c r="J16" s="41" t="n">
        <x:v>0.007765730696726719</x:v>
      </x:c>
      <x:c r="K16" s="41" t="n">
        <x:v>1.0512386709170938</x:v>
      </x:c>
      <x:c r="L16" s="48" t="n">
        <x:v>0.4836962608381503</x:v>
      </x:c>
      <x:c r="M16" s="49" t="n">
        <x:v>8.642341754474744e-9</x:v>
      </x:c>
      <x:c r="N16" s="46" t="b">
        <x:v>1</x:v>
      </x:c>
      <x:c r="O16" s="49" t="n">
        <x:v>0.002380952380952381</x:v>
      </x:c>
      <x:c r="P16" s="49" t="n">
        <x:v>1.8148917684396962e-7</x:v>
      </x:c>
      <x:c r="Q16" s="46" t="b">
        <x:v>1</x:v>
      </x:c>
      <x:c r="R16" s="49" t="n">
        <x:v>2.592702526342423e-8</x:v>
      </x:c>
      <x:c r="S16" s="46" t="b">
        <x:v>1</x:v>
      </x:c>
    </x:row>
    <x:row r="17" ht="15" hidden="0" customHeight="1">
      <x:c r="A17" s="39" t="str">
        <x:v>conversion_rate</x:v>
      </x:c>
      <x:c r="B17" s="39" t="str">
        <x:v>Paid Search</x:v>
      </x:c>
      <x:c r="C17" s="39" t="str">
        <x:v>Partnerships</x:v>
      </x:c>
      <x:c r="D17" s="39" t="n">
        <x:v>238</x:v>
      </x:c>
      <x:c r="E17" s="39" t="n">
        <x:v>17458</x:v>
      </x:c>
      <x:c r="F17" s="39" t="n">
        <x:v>102</x:v>
      </x:c>
      <x:c r="G17" s="39" t="n">
        <x:v>11506</x:v>
      </x:c>
      <x:c r="H17" s="41" t="n">
        <x:v>0.0136327185244587</x:v>
      </x:c>
      <x:c r="I17" s="41" t="n">
        <x:v>0.008864940031288024</x:v>
      </x:c>
      <x:c r="J17" s="41" t="n">
        <x:v>-0.0047677784931706765</x:v>
      </x:c>
      <x:c r="K17" s="41" t="n">
        <x:v>-0.3497305753519902</x:v>
      </x:c>
      <x:c r="L17" s="48" t="n">
        <x:v>1.5452574525745257</x:v>
      </x:c>
      <x:c r="M17" s="49" t="n">
        <x:v>0.0002236638779238808</x:v>
      </x:c>
      <x:c r="N17" s="46" t="b">
        <x:v>1</x:v>
      </x:c>
      <x:c r="O17" s="49" t="n">
        <x:v>0.002380952380952381</x:v>
      </x:c>
      <x:c r="P17" s="49" t="n">
        <x:v>0.004696941436401497</x:v>
      </x:c>
      <x:c r="Q17" s="46" t="b">
        <x:v>1</x:v>
      </x:c>
      <x:c r="R17" s="49" t="n">
        <x:v>0.00039141178636679144</x:v>
      </x:c>
      <x:c r="S17" s="46" t="b">
        <x:v>1</x:v>
      </x:c>
    </x:row>
    <x:row r="18" ht="15" hidden="0" customHeight="1">
      <x:c r="A18" s="39" t="str">
        <x:v>conversion_rate</x:v>
      </x:c>
      <x:c r="B18" s="39" t="str">
        <x:v>Paid Search</x:v>
      </x:c>
      <x:c r="C18" s="39" t="str">
        <x:v>Referral</x:v>
      </x:c>
      <x:c r="D18" s="39" t="n">
        <x:v>238</x:v>
      </x:c>
      <x:c r="E18" s="39" t="n">
        <x:v>17458</x:v>
      </x:c>
      <x:c r="F18" s="39" t="n">
        <x:v>589</x:v>
      </x:c>
      <x:c r="G18" s="39" t="n">
        <x:v>21586</x:v>
      </x:c>
      <x:c r="H18" s="41" t="n">
        <x:v>0.0136327185244587</x:v>
      </x:c>
      <x:c r="I18" s="41" t="n">
        <x:v>0.027286204021124805</x:v>
      </x:c>
      <x:c r="J18" s="41" t="n">
        <x:v>0.013653485496666104</x:v>
      </x:c>
      <x:c r="K18" s="41" t="n">
        <x:v>1.001523318490743</x:v>
      </x:c>
      <x:c r="L18" s="48" t="n">
        <x:v>0.49270363162035696</x:v>
      </x:c>
      <x:c r="M18" s="49" t="n">
        <x:v>2.4492830562451304e-21</x:v>
      </x:c>
      <x:c r="N18" s="46" t="b">
        <x:v>1</x:v>
      </x:c>
      <x:c r="O18" s="49" t="n">
        <x:v>0.002380952380952381</x:v>
      </x:c>
      <x:c r="P18" s="49" t="n">
        <x:v>5.143494418114774e-20</x:v>
      </x:c>
      <x:c r="Q18" s="46" t="b">
        <x:v>1</x:v>
      </x:c>
      <x:c r="R18" s="49" t="n">
        <x:v>1.2858736045286935e-20</x:v>
      </x:c>
      <x:c r="S18" s="46" t="b">
        <x:v>1</x:v>
      </x:c>
    </x:row>
    <x:row r="19" ht="15" hidden="0" customHeight="1">
      <x:c r="A19" s="39" t="str">
        <x:v>conversion_rate</x:v>
      </x:c>
      <x:c r="B19" s="39" t="str">
        <x:v>Paid Search</x:v>
      </x:c>
      <x:c r="C19" s="39" t="str">
        <x:v>SEO</x:v>
      </x:c>
      <x:c r="D19" s="39" t="n">
        <x:v>238</x:v>
      </x:c>
      <x:c r="E19" s="39" t="n">
        <x:v>17458</x:v>
      </x:c>
      <x:c r="F19" s="39" t="n">
        <x:v>160</x:v>
      </x:c>
      <x:c r="G19" s="39" t="n">
        <x:v>10559</x:v>
      </x:c>
      <x:c r="H19" s="41" t="n">
        <x:v>0.0136327185244587</x:v>
      </x:c>
      <x:c r="I19" s="41" t="n">
        <x:v>0.01515295008997064</x:v>
      </x:c>
      <x:c r="J19" s="41" t="n">
        <x:v>0.0015202315655119397</x:v>
      </x:c>
      <x:c r="K19" s="41" t="n">
        <x:v>0.11151345659961111</x:v>
      </x:c>
      <x:c r="L19" s="48" t="n">
        <x:v>0.8982876016260163</x:v>
      </x:c>
      <x:c r="M19" s="49" t="n">
        <x:v>0.297938034289709</x:v>
      </x:c>
      <x:c r="N19" s="46" t="b">
        <x:v>0</x:v>
      </x:c>
      <x:c r="O19" s="49" t="n">
        <x:v>0.002380952380952381</x:v>
      </x:c>
      <x:c r="P19" s="49" t="n">
        <x:v>1</x:v>
      </x:c>
      <x:c r="Q19" s="46" t="b">
        <x:v>0</x:v>
      </x:c>
      <x:c r="R19" s="49" t="n">
        <x:v>0.32929993263599416</x:v>
      </x:c>
      <x:c r="S19" s="46" t="b">
        <x:v>0</x:v>
      </x:c>
    </x:row>
    <x:row r="20" ht="15" hidden="0" customHeight="1">
      <x:c r="A20" s="39" t="str">
        <x:v>conversion_rate</x:v>
      </x:c>
      <x:c r="B20" s="39" t="str">
        <x:v>Partnerships</x:v>
      </x:c>
      <x:c r="C20" s="39" t="str">
        <x:v>Referral</x:v>
      </x:c>
      <x:c r="D20" s="39" t="n">
        <x:v>102</x:v>
      </x:c>
      <x:c r="E20" s="39" t="n">
        <x:v>11506</x:v>
      </x:c>
      <x:c r="F20" s="39" t="n">
        <x:v>589</x:v>
      </x:c>
      <x:c r="G20" s="39" t="n">
        <x:v>21586</x:v>
      </x:c>
      <x:c r="H20" s="41" t="n">
        <x:v>0.008864940031288024</x:v>
      </x:c>
      <x:c r="I20" s="41" t="n">
        <x:v>0.027286204021124805</x:v>
      </x:c>
      <x:c r="J20" s="41" t="n">
        <x:v>0.018421263989836782</x:v>
      </x:c>
      <x:c r="K20" s="41" t="n">
        <x:v>2.0779908183045293</x:v>
      </x:c>
      <x:c r="L20" s="48" t="n">
        <x:v>0.31884889524361926</x:v>
      </x:c>
      <x:c r="M20" s="49" t="n">
        <x:v>9.491570594939047e-33</x:v>
      </x:c>
      <x:c r="N20" s="46" t="b">
        <x:v>1</x:v>
      </x:c>
      <x:c r="O20" s="49" t="n">
        <x:v>0.002380952380952381</x:v>
      </x:c>
      <x:c r="P20" s="49" t="n">
        <x:v>1.9932298249372e-31</x:v>
      </x:c>
      <x:c r="Q20" s="46" t="b">
        <x:v>1</x:v>
      </x:c>
      <x:c r="R20" s="49" t="n">
        <x:v>9.966149124686e-32</x:v>
      </x:c>
      <x:c r="S20" s="46" t="b">
        <x:v>1</x:v>
      </x:c>
    </x:row>
    <x:row r="21" ht="15" hidden="0" customHeight="1">
      <x:c r="A21" s="39" t="str">
        <x:v>conversion_rate</x:v>
      </x:c>
      <x:c r="B21" s="39" t="str">
        <x:v>Partnerships</x:v>
      </x:c>
      <x:c r="C21" s="39" t="str">
        <x:v>SEO</x:v>
      </x:c>
      <x:c r="D21" s="39" t="n">
        <x:v>102</x:v>
      </x:c>
      <x:c r="E21" s="39" t="n">
        <x:v>11506</x:v>
      </x:c>
      <x:c r="F21" s="39" t="n">
        <x:v>160</x:v>
      </x:c>
      <x:c r="G21" s="39" t="n">
        <x:v>10559</x:v>
      </x:c>
      <x:c r="H21" s="41" t="n">
        <x:v>0.008864940031288024</x:v>
      </x:c>
      <x:c r="I21" s="41" t="n">
        <x:v>0.01515295008997064</x:v>
      </x:c>
      <x:c r="J21" s="41" t="n">
        <x:v>0.006288010058682616</x:v>
      </x:c>
      <x:c r="K21" s="41" t="n">
        <x:v>0.7093121934823743</x:v>
      </x:c>
      <x:c r="L21" s="48" t="n">
        <x:v>0.5813190547176429</x:v>
      </x:c>
      <x:c r="M21" s="49" t="n">
        <x:v>0.000016465984610100696</x:v>
      </x:c>
      <x:c r="N21" s="46" t="b">
        <x:v>1</x:v>
      </x:c>
      <x:c r="O21" s="49" t="n">
        <x:v>0.002380952380952381</x:v>
      </x:c>
      <x:c r="P21" s="49" t="n">
        <x:v>0.0003457856768121146</x:v>
      </x:c>
      <x:c r="Q21" s="46" t="b">
        <x:v>1</x:v>
      </x:c>
      <x:c r="R21" s="49" t="n">
        <x:v>0.00003457856768121146</x:v>
      </x:c>
      <x:c r="S21" s="46" t="b">
        <x:v>1</x:v>
      </x:c>
    </x:row>
    <x:row r="22" ht="15" hidden="0" customHeight="1">
      <x:c r="A22" s="39" t="str">
        <x:v>conversion_rate</x:v>
      </x:c>
      <x:c r="B22" s="39" t="str">
        <x:v>Referral</x:v>
      </x:c>
      <x:c r="C22" s="39" t="str">
        <x:v>SEO</x:v>
      </x:c>
      <x:c r="D22" s="39" t="n">
        <x:v>589</x:v>
      </x:c>
      <x:c r="E22" s="39" t="n">
        <x:v>21586</x:v>
      </x:c>
      <x:c r="F22" s="39" t="n">
        <x:v>160</x:v>
      </x:c>
      <x:c r="G22" s="39" t="n">
        <x:v>10559</x:v>
      </x:c>
      <x:c r="H22" s="41" t="n">
        <x:v>0.027286204021124805</x:v>
      </x:c>
      <x:c r="I22" s="41" t="n">
        <x:v>0.01515295008997064</x:v>
      </x:c>
      <x:c r="J22" s="41" t="n">
        <x:v>-0.012133253931154164</x:v>
      </x:c>
      <x:c r="K22" s="41" t="n">
        <x:v>-0.44466624678759553</x:v>
      </x:c>
      <x:c r="L22" s="48" t="n">
        <x:v>1.8231803948183074</x:v>
      </x:c>
      <x:c r="M22" s="49" t="n">
        <x:v>2.508171837767339e-12</x:v>
      </x:c>
      <x:c r="N22" s="46" t="b">
        <x:v>1</x:v>
      </x:c>
      <x:c r="O22" s="49" t="n">
        <x:v>0.002380952380952381</x:v>
      </x:c>
      <x:c r="P22" s="49" t="n">
        <x:v>5.267160859311412e-11</x:v>
      </x:c>
      <x:c r="Q22" s="46" t="b">
        <x:v>1</x:v>
      </x:c>
      <x:c r="R22" s="49" t="n">
        <x:v>8.778601432185686e-12</x:v>
      </x:c>
      <x:c r="S22" s="4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4261d36b4d741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5" hidden="0" customHeight="1">
      <x:c r="A1" s="12" t="str">
        <x:v>effect_size_pct</x:v>
      </x:c>
      <x:c r="B1" s="12" t="str">
        <x:v>n_days_per_channel</x:v>
      </x:c>
      <x:c r="C1" s="12" t="str">
        <x:v>power</x:v>
      </x:c>
    </x:row>
    <x:row r="2" ht="15" hidden="0" customHeight="1">
      <x:c r="A2" s="50" t="n">
        <x:v>0.05</x:v>
      </x:c>
      <x:c r="B2" s="39" t="n">
        <x:v>30</x:v>
      </x:c>
      <x:c r="C2" s="50" t="n">
        <x:v>0.24</x:v>
      </x:c>
    </x:row>
    <x:row r="3" ht="15" hidden="0" customHeight="1">
      <x:c r="A3" s="50" t="n">
        <x:v>0.05</x:v>
      </x:c>
      <x:c r="B3" s="39" t="n">
        <x:v>60</x:v>
      </x:c>
      <x:c r="C3" s="50" t="n">
        <x:v>0.436</x:v>
      </x:c>
    </x:row>
    <x:row r="4" ht="15" hidden="0" customHeight="1">
      <x:c r="A4" s="50" t="n">
        <x:v>0.05</x:v>
      </x:c>
      <x:c r="B4" s="39" t="n">
        <x:v>90</x:v>
      </x:c>
      <x:c r="C4" s="50" t="n">
        <x:v>0.595</x:v>
      </x:c>
    </x:row>
    <x:row r="5" ht="15" hidden="0" customHeight="1">
      <x:c r="A5" s="50" t="n">
        <x:v>0.05</x:v>
      </x:c>
      <x:c r="B5" s="39" t="n">
        <x:v>120</x:v>
      </x:c>
      <x:c r="C5" s="50" t="n">
        <x:v>0.74</x:v>
      </x:c>
    </x:row>
    <x:row r="6" ht="15" hidden="0" customHeight="1">
      <x:c r="A6" s="50" t="n">
        <x:v>0.05</x:v>
      </x:c>
      <x:c r="B6" s="39" t="n">
        <x:v>180</x:v>
      </x:c>
      <x:c r="C6" s="50" t="n">
        <x:v>0.9</x:v>
      </x:c>
    </x:row>
    <x:row r="7" ht="15" hidden="0" customHeight="1">
      <x:c r="A7" s="50" t="n">
        <x:v>0.1</x:v>
      </x:c>
      <x:c r="B7" s="39" t="n">
        <x:v>30</x:v>
      </x:c>
      <x:c r="C7" s="50" t="n">
        <x:v>0.72</x:v>
      </x:c>
    </x:row>
    <x:row r="8" ht="15" hidden="0" customHeight="1">
      <x:c r="A8" s="50" t="n">
        <x:v>0.1</x:v>
      </x:c>
      <x:c r="B8" s="39" t="n">
        <x:v>60</x:v>
      </x:c>
      <x:c r="C8" s="50" t="n">
        <x:v>0.95</x:v>
      </x:c>
    </x:row>
    <x:row r="9" ht="15" hidden="0" customHeight="1">
      <x:c r="A9" s="50" t="n">
        <x:v>0.1</x:v>
      </x:c>
      <x:c r="B9" s="39" t="n">
        <x:v>90</x:v>
      </x:c>
      <x:c r="C9" s="50" t="n">
        <x:v>0.991</x:v>
      </x:c>
    </x:row>
    <x:row r="10" ht="15" hidden="0" customHeight="1">
      <x:c r="A10" s="50" t="n">
        <x:v>0.1</x:v>
      </x:c>
      <x:c r="B10" s="39" t="n">
        <x:v>120</x:v>
      </x:c>
      <x:c r="C10" s="50" t="n">
        <x:v>0.999</x:v>
      </x:c>
    </x:row>
    <x:row r="11" ht="15" hidden="0" customHeight="1">
      <x:c r="A11" s="50" t="n">
        <x:v>0.1</x:v>
      </x:c>
      <x:c r="B11" s="39" t="n">
        <x:v>180</x:v>
      </x:c>
      <x:c r="C11" s="50" t="n">
        <x:v>1</x:v>
      </x:c>
    </x:row>
    <x:row r="12" ht="15" hidden="0" customHeight="1">
      <x:c r="A12" s="50" t="n">
        <x:v>0.15</x:v>
      </x:c>
      <x:c r="B12" s="39" t="n">
        <x:v>30</x:v>
      </x:c>
      <x:c r="C12" s="50" t="n">
        <x:v>0.959</x:v>
      </x:c>
    </x:row>
    <x:row r="13" ht="15" hidden="0" customHeight="1">
      <x:c r="A13" s="50" t="n">
        <x:v>0.15</x:v>
      </x:c>
      <x:c r="B13" s="39" t="n">
        <x:v>60</x:v>
      </x:c>
      <x:c r="C13" s="50" t="n">
        <x:v>0.999</x:v>
      </x:c>
    </x:row>
    <x:row r="14" ht="15" hidden="0" customHeight="1">
      <x:c r="A14" s="50" t="n">
        <x:v>0.15</x:v>
      </x:c>
      <x:c r="B14" s="39" t="n">
        <x:v>90</x:v>
      </x:c>
      <x:c r="C14" s="50" t="n">
        <x:v>1</x:v>
      </x:c>
    </x:row>
    <x:row r="15" ht="15" hidden="0" customHeight="1">
      <x:c r="A15" s="50" t="n">
        <x:v>0.15</x:v>
      </x:c>
      <x:c r="B15" s="39" t="n">
        <x:v>120</x:v>
      </x:c>
      <x:c r="C15" s="50" t="n">
        <x:v>1</x:v>
      </x:c>
    </x:row>
    <x:row r="16" ht="15" hidden="0" customHeight="1">
      <x:c r="A16" s="50" t="n">
        <x:v>0.15</x:v>
      </x:c>
      <x:c r="B16" s="39" t="n">
        <x:v>180</x:v>
      </x:c>
      <x:c r="C16" s="50" t="n">
        <x:v>1</x:v>
      </x:c>
    </x:row>
    <x:row r="17" ht="15" hidden="0" customHeight="1">
      <x:c r="A17" s="50" t="n">
        <x:v>0.2</x:v>
      </x:c>
      <x:c r="B17" s="39" t="n">
        <x:v>30</x:v>
      </x:c>
      <x:c r="C17" s="50" t="n">
        <x:v>1</x:v>
      </x:c>
    </x:row>
    <x:row r="18" ht="15" hidden="0" customHeight="1">
      <x:c r="A18" s="50" t="n">
        <x:v>0.2</x:v>
      </x:c>
      <x:c r="B18" s="39" t="n">
        <x:v>60</x:v>
      </x:c>
      <x:c r="C18" s="50" t="n">
        <x:v>1</x:v>
      </x:c>
    </x:row>
    <x:row r="19" ht="15" hidden="0" customHeight="1">
      <x:c r="A19" s="50" t="n">
        <x:v>0.2</x:v>
      </x:c>
      <x:c r="B19" s="39" t="n">
        <x:v>90</x:v>
      </x:c>
      <x:c r="C19" s="50" t="n">
        <x:v>1</x:v>
      </x:c>
    </x:row>
    <x:row r="20" ht="15" hidden="0" customHeight="1">
      <x:c r="A20" s="50" t="n">
        <x:v>0.2</x:v>
      </x:c>
      <x:c r="B20" s="39" t="n">
        <x:v>120</x:v>
      </x:c>
      <x:c r="C20" s="50" t="n">
        <x:v>1</x:v>
      </x:c>
    </x:row>
    <x:row r="21" ht="15" hidden="0" customHeight="1">
      <x:c r="A21" s="50" t="n">
        <x:v>0.2</x:v>
      </x:c>
      <x:c r="B21" s="39" t="n">
        <x:v>180</x:v>
      </x:c>
      <x:c r="C21" s="5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14b5236a55242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8" hidden="0" customHeight="1">
      <x:c r="A1" s="12" t="str">
        <x:v>channel</x:v>
      </x:c>
      <x:c r="B1" s="12" t="str">
        <x:v>conversion_rate</x:v>
      </x:c>
      <x:c r="C1" s="12" t="str">
        <x:v>cpa</x:v>
      </x:c>
      <x:c r="D1" s="12" t="str">
        <x:v>roas</x:v>
      </x:c>
      <x:c r="E1" s="12" t="str">
        <x:v>profit</x:v>
      </x:c>
      <x:c r="F1" s="12" t="str">
        <x:v>roas_rank</x:v>
      </x:c>
      <x:c r="G1" s="12" t="str">
        <x:v>conversion_rank</x:v>
      </x:c>
      <x:c r="H1" s="12" t="str">
        <x:v>cpa_rank</x:v>
      </x:c>
      <x:c r="I1" s="12" t="str">
        <x:v>roas_points</x:v>
      </x:c>
      <x:c r="J1" s="12" t="str">
        <x:v>conversion_points</x:v>
      </x:c>
      <x:c r="K1" s="12" t="str">
        <x:v>cpa_points</x:v>
      </x:c>
      <x:c r="L1" s="12" t="str">
        <x:v>composite_score</x:v>
      </x:c>
      <x:c r="M1" s="12" t="str">
        <x:v>recommended_share</x:v>
      </x:c>
      <x:c r="N1" s="12" t="str">
        <x:v>recommended_budget_usd</x:v>
      </x:c>
      <x:c r="O1" s="12" t="str">
        <x:v>allocation_guardrail</x:v>
      </x:c>
    </x:row>
    <x:row r="2" ht="15" hidden="0" customHeight="1">
      <x:c r="A2" s="39" t="str">
        <x:v>Referral</x:v>
      </x:c>
      <x:c r="B2" s="41" t="n">
        <x:v>0.0272862040211248</x:v>
      </x:c>
      <x:c r="C2" s="40" t="n">
        <x:v>77.84918505942275</x:v>
      </x:c>
      <x:c r="D2" s="42" t="n">
        <x:v>6.607183538237378</x:v>
      </x:c>
      <x:c r="E2" s="40" t="n">
        <x:v>257107.14</x:v>
      </x:c>
      <x:c r="F2" s="39" t="n">
        <x:v>1</x:v>
      </x:c>
      <x:c r="G2" s="39" t="n">
        <x:v>1</x:v>
      </x:c>
      <x:c r="H2" s="39" t="n">
        <x:v>1</x:v>
      </x:c>
      <x:c r="I2" s="39" t="n">
        <x:v>7</x:v>
      </x:c>
      <x:c r="J2" s="39" t="n">
        <x:v>7</x:v>
      </x:c>
      <x:c r="K2" s="39" t="n">
        <x:v>7</x:v>
      </x:c>
      <x:c r="L2" s="39" t="n">
        <x:v>7</x:v>
      </x:c>
      <x:c r="M2" s="47" t="n">
        <x:v>0.2128</x:v>
      </x:c>
      <x:c r="N2" s="40" t="n">
        <x:v>106400</x:v>
      </x:c>
      <x:c r="O2" s="39" t="str">
        <x:v>score-weighted</x:v>
      </x:c>
    </x:row>
    <x:row r="3" ht="15" hidden="0" customHeight="1">
      <x:c r="A3" s="39" t="str">
        <x:v>SEO</x:v>
      </x:c>
      <x:c r="B3" s="41" t="n">
        <x:v>0.0151529500899706</x:v>
      </x:c>
      <x:c r="C3" s="40" t="n">
        <x:v>713.1300625</x:v>
      </x:c>
      <x:c r="D3" s="42" t="n">
        <x:v>0.6068395132339551</x:v>
      </x:c>
      <x:c r="E3" s="40" t="n">
        <x:v>-44859.93</x:v>
      </x:c>
      <x:c r="F3" s="39" t="n">
        <x:v>2</x:v>
      </x:c>
      <x:c r="G3" s="39" t="n">
        <x:v>2</x:v>
      </x:c>
      <x:c r="H3" s="39" t="n">
        <x:v>2</x:v>
      </x:c>
      <x:c r="I3" s="39" t="n">
        <x:v>6</x:v>
      </x:c>
      <x:c r="J3" s="39" t="n">
        <x:v>6</x:v>
      </x:c>
      <x:c r="K3" s="39" t="n">
        <x:v>6</x:v>
      </x:c>
      <x:c r="L3" s="39" t="n">
        <x:v>6</x:v>
      </x:c>
      <x:c r="M3" s="47" t="n">
        <x:v>0.1892</x:v>
      </x:c>
      <x:c r="N3" s="40" t="n">
        <x:v>94600</x:v>
      </x:c>
      <x:c r="O3" s="39" t="str">
        <x:v>score-weighted</x:v>
      </x:c>
    </x:row>
    <x:row r="4" ht="15" hidden="0" customHeight="1">
      <x:c r="A4" s="39" t="str">
        <x:v>Partnerships</x:v>
      </x:c>
      <x:c r="B4" s="41" t="n">
        <x:v>0.008864940031288</x:v>
      </x:c>
      <x:c r="C4" s="40" t="n">
        <x:v>961.5303921568628</x:v>
      </x:c>
      <x:c r="D4" s="42" t="n">
        <x:v>0.516094338987786</x:v>
      </x:c>
      <x:c r="E4" s="40" t="n">
        <x:v>-47459.58</x:v>
      </x:c>
      <x:c r="F4" s="39" t="n">
        <x:v>4</x:v>
      </x:c>
      <x:c r="G4" s="39" t="n">
        <x:v>5</x:v>
      </x:c>
      <x:c r="H4" s="39" t="n">
        <x:v>4</x:v>
      </x:c>
      <x:c r="I4" s="39" t="n">
        <x:v>4</x:v>
      </x:c>
      <x:c r="J4" s="39" t="n">
        <x:v>3</x:v>
      </x:c>
      <x:c r="K4" s="39" t="n">
        <x:v>4</x:v>
      </x:c>
      <x:c r="L4" s="39" t="n">
        <x:v>3.7</x:v>
      </x:c>
      <x:c r="M4" s="47" t="n">
        <x:v>0.1358</x:v>
      </x:c>
      <x:c r="N4" s="40" t="n">
        <x:v>67900</x:v>
      </x:c>
      <x:c r="O4" s="39" t="str">
        <x:v>score-weighted</x:v>
      </x:c>
    </x:row>
    <x:row r="5" ht="15" hidden="0" customHeight="1">
      <x:c r="A5" s="39" t="str">
        <x:v>Paid Search</x:v>
      </x:c>
      <x:c r="B5" s="41" t="n">
        <x:v>0.0136327185244587</x:v>
      </x:c>
      <x:c r="C5" s="40" t="n">
        <x:v>971.6562184873948</x:v>
      </x:c>
      <x:c r="D5" s="42" t="n">
        <x:v>0.5045707281918104</x:v>
      </x:c>
      <x:c r="E5" s="40" t="n">
        <x:v>-114570.09</x:v>
      </x:c>
      <x:c r="F5" s="39" t="n">
        <x:v>5</x:v>
      </x:c>
      <x:c r="G5" s="39" t="n">
        <x:v>3</x:v>
      </x:c>
      <x:c r="H5" s="39" t="n">
        <x:v>5</x:v>
      </x:c>
      <x:c r="I5" s="39" t="n">
        <x:v>3</x:v>
      </x:c>
      <x:c r="J5" s="39" t="n">
        <x:v>5</x:v>
      </x:c>
      <x:c r="K5" s="39" t="n">
        <x:v>3</x:v>
      </x:c>
      <x:c r="L5" s="39" t="n">
        <x:v>3.6</x:v>
      </x:c>
      <x:c r="M5" s="47" t="n">
        <x:v>0.1336</x:v>
      </x:c>
      <x:c r="N5" s="40" t="n">
        <x:v>66800</x:v>
      </x:c>
      <x:c r="O5" s="39" t="str">
        <x:v>score-weighted</x:v>
      </x:c>
    </x:row>
    <x:row r="6" ht="15" hidden="0" customHeight="1">
      <x:c r="A6" s="39" t="str">
        <x:v>Outbound Sales</x:v>
      </x:c>
      <x:c r="B6" s="41" t="n">
        <x:v>0.0073872193932439</x:v>
      </x:c>
      <x:c r="C6" s="40" t="n">
        <x:v>1218.8406796116506</x:v>
      </x:c>
      <x:c r="D6" s="42" t="n">
        <x:v>0.526497047687923</x:v>
      </x:c>
      <x:c r="E6" s="40" t="n">
        <x:v>-59443.84</x:v>
      </x:c>
      <x:c r="F6" s="39" t="n">
        <x:v>3</x:v>
      </x:c>
      <x:c r="G6" s="39" t="n">
        <x:v>7</x:v>
      </x:c>
      <x:c r="H6" s="39" t="n">
        <x:v>6</x:v>
      </x:c>
      <x:c r="I6" s="39" t="n">
        <x:v>5</x:v>
      </x:c>
      <x:c r="J6" s="39" t="n">
        <x:v>1</x:v>
      </x:c>
      <x:c r="K6" s="39" t="n">
        <x:v>2</x:v>
      </x:c>
      <x:c r="L6" s="39" t="n">
        <x:v>3.1999999999999997</x:v>
      </x:c>
      <x:c r="M6" s="47" t="n">
        <x:v>0.1242</x:v>
      </x:c>
      <x:c r="N6" s="40" t="n">
        <x:v>62100</x:v>
      </x:c>
      <x:c r="O6" s="39" t="str">
        <x:v>score-weighted</x:v>
      </x:c>
    </x:row>
    <x:row r="7" ht="15" hidden="0" customHeight="1">
      <x:c r="A7" s="39" t="str">
        <x:v>Content</x:v>
      </x:c>
      <x:c r="B7" s="41" t="n">
        <x:v>0.0116399916857202</x:v>
      </x:c>
      <x:c r="C7" s="40" t="n">
        <x:v>841.1885714285714</x:v>
      </x:c>
      <x:c r="D7" s="42" t="n">
        <x:v>0.4485501594682354</x:v>
      </x:c>
      <x:c r="E7" s="40" t="n">
        <x:v>-51953.81</x:v>
      </x:c>
      <x:c r="F7" s="39" t="n">
        <x:v>6</x:v>
      </x:c>
      <x:c r="G7" s="39" t="n">
        <x:v>4</x:v>
      </x:c>
      <x:c r="H7" s="39" t="n">
        <x:v>3</x:v>
      </x:c>
      <x:c r="I7" s="39" t="n">
        <x:v>2</x:v>
      </x:c>
      <x:c r="J7" s="39" t="n">
        <x:v>4</x:v>
      </x:c>
      <x:c r="K7" s="39" t="n">
        <x:v>5</x:v>
      </x:c>
      <x:c r="L7" s="39" t="n">
        <x:v>3.2</x:v>
      </x:c>
      <x:c r="M7" s="47" t="n">
        <x:v>0.1242</x:v>
      </x:c>
      <x:c r="N7" s="40" t="n">
        <x:v>62100</x:v>
      </x:c>
      <x:c r="O7" s="39" t="str">
        <x:v>score-weighted</x:v>
      </x:c>
    </x:row>
    <x:row r="8" ht="15" hidden="0" customHeight="1">
      <x:c r="A8" s="39" t="str">
        <x:v>LinkedIn Ads</x:v>
      </x:c>
      <x:c r="B8" s="41" t="n">
        <x:v>0.0085190039318479</x:v>
      </x:c>
      <x:c r="C8" s="40" t="n">
        <x:v>1488.9851648351648</x:v>
      </x:c>
      <x:c r="D8" s="42" t="n">
        <x:v>0.2889059699559365</x:v>
      </x:c>
      <x:c r="E8" s="40" t="n">
        <x:v>-96351.57</x:v>
      </x:c>
      <x:c r="F8" s="39" t="n">
        <x:v>7</x:v>
      </x:c>
      <x:c r="G8" s="39" t="n">
        <x:v>6</x:v>
      </x:c>
      <x:c r="H8" s="39" t="n">
        <x:v>7</x:v>
      </x:c>
      <x:c r="I8" s="39" t="n">
        <x:v>1</x:v>
      </x:c>
      <x:c r="J8" s="39" t="n">
        <x:v>2</x:v>
      </x:c>
      <x:c r="K8" s="39" t="n">
        <x:v>1</x:v>
      </x:c>
      <x:c r="L8" s="39" t="n">
        <x:v>1.3</x:v>
      </x:c>
      <x:c r="M8" s="47" t="n">
        <x:v>0.0802</x:v>
      </x:c>
      <x:c r="N8" s="40" t="n">
        <x:v>40100</x:v>
      </x:c>
      <x:c r="O8" s="39" t="str">
        <x:v>score-weighted</x:v>
      </x:c>
    </x:row>
  </x:sheetData>
  <x:pageMargins left="0.7" right="0.7" top="0.75" bottom="0.75" header="0.3" footer="0.3"/>
  <x:tableParts count="1">
    <x:tablePart xmlns:r="http://schemas.openxmlformats.org/officeDocument/2006/relationships" r:id="R8c2311d3cceb4441"/>
  </x:tableParts>
</x:worksheet>
</file>